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Patrick\Desktop\"/>
    </mc:Choice>
  </mc:AlternateContent>
  <xr:revisionPtr revIDLastSave="0" documentId="13_ncr:1_{E7249DE9-6E5A-4474-8417-9794CD79A5CB}" xr6:coauthVersionLast="47" xr6:coauthVersionMax="47" xr10:uidLastSave="{00000000-0000-0000-0000-000000000000}"/>
  <bookViews>
    <workbookView xWindow="-110" yWindow="-110" windowWidth="38620" windowHeight="21220" activeTab="3" xr2:uid="{00000000-000D-0000-FFFF-FFFF00000000}"/>
  </bookViews>
  <sheets>
    <sheet name="제품정보" sheetId="1" r:id="rId1"/>
    <sheet name="제품입고" sheetId="5" r:id="rId2"/>
    <sheet name="그로스판매" sheetId="6" r:id="rId3"/>
    <sheet name="일매출입력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8" i="4" l="1"/>
  <c r="I38" i="4" s="1"/>
  <c r="D37" i="4"/>
  <c r="I37" i="4" s="1"/>
  <c r="D36" i="4"/>
  <c r="I36" i="4" s="1"/>
  <c r="D35" i="4"/>
  <c r="I35" i="4" s="1"/>
  <c r="D34" i="4" l="1"/>
  <c r="I34" i="4" s="1"/>
  <c r="D33" i="4" l="1"/>
  <c r="I33" i="4" s="1"/>
  <c r="D32" i="4" l="1"/>
  <c r="I32" i="4" s="1"/>
  <c r="D31" i="4"/>
  <c r="I31" i="4" s="1"/>
  <c r="D30" i="4" l="1"/>
  <c r="I30" i="4" s="1"/>
  <c r="I27" i="4" l="1"/>
  <c r="I28" i="4"/>
  <c r="I25" i="4" l="1"/>
  <c r="I24" i="4"/>
  <c r="D23" i="4" l="1"/>
  <c r="I23" i="4" s="1"/>
  <c r="D22" i="4" l="1"/>
  <c r="I22" i="4" s="1"/>
  <c r="D21" i="4" l="1"/>
  <c r="I21" i="4" s="1"/>
  <c r="D20" i="4"/>
  <c r="I20" i="4" s="1"/>
  <c r="D19" i="4" l="1"/>
  <c r="I19" i="4" s="1"/>
  <c r="D18" i="4"/>
  <c r="I18" i="4" s="1"/>
  <c r="D17" i="4"/>
  <c r="I17" i="4" s="1"/>
  <c r="D16" i="4" l="1"/>
  <c r="I16" i="4" s="1"/>
  <c r="D15" i="4"/>
  <c r="I15" i="4" s="1"/>
  <c r="D14" i="4" l="1"/>
  <c r="I14" i="4" s="1"/>
  <c r="D13" i="4"/>
  <c r="I13" i="4" s="1"/>
  <c r="D12" i="4"/>
  <c r="I12" i="4" s="1"/>
  <c r="D11" i="4"/>
  <c r="I11" i="4" s="1"/>
  <c r="D10" i="4"/>
  <c r="I10" i="4" s="1"/>
  <c r="D9" i="4"/>
  <c r="I9" i="4" s="1"/>
  <c r="D8" i="4"/>
  <c r="I8" i="4" s="1"/>
  <c r="D7" i="4"/>
  <c r="I7" i="4" s="1"/>
  <c r="D2" i="4" l="1"/>
  <c r="I2" i="4" s="1"/>
  <c r="D3" i="4"/>
  <c r="I3" i="4" s="1"/>
</calcChain>
</file>

<file path=xl/sharedStrings.xml><?xml version="1.0" encoding="utf-8"?>
<sst xmlns="http://schemas.openxmlformats.org/spreadsheetml/2006/main" count="281" uniqueCount="194">
  <si>
    <t>TL0001</t>
    <phoneticPr fontId="1" type="noConversion"/>
  </si>
  <si>
    <t>MH-999</t>
    <phoneticPr fontId="1" type="noConversion"/>
  </si>
  <si>
    <t>1kg 주방저울 WH-B06</t>
    <phoneticPr fontId="1" type="noConversion"/>
  </si>
  <si>
    <t>제품명</t>
    <phoneticPr fontId="1" type="noConversion"/>
  </si>
  <si>
    <t>원가</t>
    <phoneticPr fontId="1" type="noConversion"/>
  </si>
  <si>
    <t>수수료</t>
    <phoneticPr fontId="1" type="noConversion"/>
  </si>
  <si>
    <t>포장비</t>
    <phoneticPr fontId="1" type="noConversion"/>
  </si>
  <si>
    <t>판매마진</t>
    <phoneticPr fontId="1" type="noConversion"/>
  </si>
  <si>
    <t>구매자명</t>
    <phoneticPr fontId="1" type="noConversion"/>
  </si>
  <si>
    <t>배송비</t>
    <phoneticPr fontId="1" type="noConversion"/>
  </si>
  <si>
    <t>총판매액</t>
    <phoneticPr fontId="1" type="noConversion"/>
  </si>
  <si>
    <t>거래처</t>
    <phoneticPr fontId="1" type="noConversion"/>
  </si>
  <si>
    <t>메모</t>
    <phoneticPr fontId="1" type="noConversion"/>
  </si>
  <si>
    <t>더블클립 15mm (60개들이)</t>
  </si>
  <si>
    <t>더블클립 15mm (60개들이)</t>
    <phoneticPr fontId="1" type="noConversion"/>
  </si>
  <si>
    <t>더블클립 19mm (40개들이)</t>
    <phoneticPr fontId="1" type="noConversion"/>
  </si>
  <si>
    <t>더블클립 25mm (48개들이)</t>
    <phoneticPr fontId="1" type="noConversion"/>
  </si>
  <si>
    <t>더블클립 41mm (24개들이)</t>
    <phoneticPr fontId="1" type="noConversion"/>
  </si>
  <si>
    <t>더블클립 50mm (12개들이)</t>
    <phoneticPr fontId="1" type="noConversion"/>
  </si>
  <si>
    <t>더블클립 60mm (6개들이)</t>
    <phoneticPr fontId="1" type="noConversion"/>
  </si>
  <si>
    <t>MH-500</t>
    <phoneticPr fontId="1" type="noConversion"/>
  </si>
  <si>
    <t>MH-500D</t>
    <phoneticPr fontId="1" type="noConversion"/>
  </si>
  <si>
    <t>미니체중계(ABS)</t>
    <phoneticPr fontId="1" type="noConversion"/>
  </si>
  <si>
    <t>강화유리사각체중계(블랙)</t>
  </si>
  <si>
    <t>런닝머신오일엑스투 320ml</t>
    <phoneticPr fontId="1" type="noConversion"/>
  </si>
  <si>
    <t>호리병손저울 블루</t>
  </si>
  <si>
    <t>손저울 WH-12 고리형</t>
    <phoneticPr fontId="1" type="noConversion"/>
  </si>
  <si>
    <t>손저울 WH-12 끈형</t>
    <phoneticPr fontId="1" type="noConversion"/>
  </si>
  <si>
    <t>강화유리주방저울 WH-B13</t>
    <phoneticPr fontId="1" type="noConversion"/>
  </si>
  <si>
    <t>크로마키 150</t>
    <phoneticPr fontId="1" type="noConversion"/>
  </si>
  <si>
    <t>크로마키 200</t>
    <phoneticPr fontId="1" type="noConversion"/>
  </si>
  <si>
    <t>SF-400C</t>
    <phoneticPr fontId="1" type="noConversion"/>
  </si>
  <si>
    <t>SF-400D</t>
    <phoneticPr fontId="1" type="noConversion"/>
  </si>
  <si>
    <t>포켓저울(은색덮개)</t>
    <phoneticPr fontId="1" type="noConversion"/>
  </si>
  <si>
    <t>날짜</t>
    <phoneticPr fontId="1" type="noConversion"/>
  </si>
  <si>
    <t>2024년10월10일</t>
    <phoneticPr fontId="1" type="noConversion"/>
  </si>
  <si>
    <t>수량</t>
    <phoneticPr fontId="1" type="noConversion"/>
  </si>
  <si>
    <t>쿠팡</t>
    <phoneticPr fontId="1" type="noConversion"/>
  </si>
  <si>
    <t>오선미</t>
    <phoneticPr fontId="1" type="noConversion"/>
  </si>
  <si>
    <t>성효정</t>
    <phoneticPr fontId="1" type="noConversion"/>
  </si>
  <si>
    <t>부경민</t>
    <phoneticPr fontId="1" type="noConversion"/>
  </si>
  <si>
    <t>Tien</t>
    <phoneticPr fontId="1" type="noConversion"/>
  </si>
  <si>
    <t>11번가</t>
    <phoneticPr fontId="1" type="noConversion"/>
  </si>
  <si>
    <t>김나리</t>
    <phoneticPr fontId="1" type="noConversion"/>
  </si>
  <si>
    <t>현재고</t>
    <phoneticPr fontId="1" type="noConversion"/>
  </si>
  <si>
    <t>에어캡봉투 17 x 32</t>
    <phoneticPr fontId="1" type="noConversion"/>
  </si>
  <si>
    <t>에어캡봉투 15 x 20</t>
    <phoneticPr fontId="1" type="noConversion"/>
  </si>
  <si>
    <t>에어캡봉투 13 x 13</t>
    <phoneticPr fontId="1" type="noConversion"/>
  </si>
  <si>
    <t>에어캡봉투 19 x 28</t>
    <phoneticPr fontId="1" type="noConversion"/>
  </si>
  <si>
    <t>에어캡봉투 20 x 30</t>
    <phoneticPr fontId="1" type="noConversion"/>
  </si>
  <si>
    <t>에어캡봉투 23 x 28</t>
    <phoneticPr fontId="1" type="noConversion"/>
  </si>
  <si>
    <t>에어캡봉투 26 x 30</t>
    <phoneticPr fontId="1" type="noConversion"/>
  </si>
  <si>
    <t>에어캡봉투 29 x 39</t>
    <phoneticPr fontId="1" type="noConversion"/>
  </si>
  <si>
    <t>에어캡봉투 30 x 30</t>
    <phoneticPr fontId="1" type="noConversion"/>
  </si>
  <si>
    <t>에어캡봉투 30 x 50</t>
    <phoneticPr fontId="1" type="noConversion"/>
  </si>
  <si>
    <t>에어캡봉투 32 x 42</t>
    <phoneticPr fontId="1" type="noConversion"/>
  </si>
  <si>
    <t>에어캡봉투 35 x 45</t>
    <phoneticPr fontId="1" type="noConversion"/>
  </si>
  <si>
    <t>에어캡봉투 38 x 49</t>
    <phoneticPr fontId="1" type="noConversion"/>
  </si>
  <si>
    <t>에어캡봉투 42 x 52</t>
    <phoneticPr fontId="1" type="noConversion"/>
  </si>
  <si>
    <t>에어캡봉투 45 x 60</t>
    <phoneticPr fontId="1" type="noConversion"/>
  </si>
  <si>
    <t>에어캡봉투 50 x 60</t>
    <phoneticPr fontId="1" type="noConversion"/>
  </si>
  <si>
    <t>종이봉투(크라프트) 16 x 12 x 6</t>
    <phoneticPr fontId="1" type="noConversion"/>
  </si>
  <si>
    <t>종이봉투(크라프트) 22 x 16 x 8</t>
    <phoneticPr fontId="1" type="noConversion"/>
  </si>
  <si>
    <t>종이봉투(크라프트) 28 x 20 x 13</t>
    <phoneticPr fontId="1" type="noConversion"/>
  </si>
  <si>
    <t>종이봉투(크라프트) 32 x 25 x 13</t>
    <phoneticPr fontId="1" type="noConversion"/>
  </si>
  <si>
    <t>종이봉투(크라프트) 40 x 30 x 10</t>
    <phoneticPr fontId="1" type="noConversion"/>
  </si>
  <si>
    <t>종이봉투(블랙) 16 x 12 x 6</t>
    <phoneticPr fontId="1" type="noConversion"/>
  </si>
  <si>
    <t>종이봉투(블랙) 22 x 16 x 8</t>
    <phoneticPr fontId="1" type="noConversion"/>
  </si>
  <si>
    <t>종이봉투(블랙) 28 x 20 x 13</t>
    <phoneticPr fontId="1" type="noConversion"/>
  </si>
  <si>
    <t>종이봉투(블랙) 32 x 25 x 13</t>
    <phoneticPr fontId="1" type="noConversion"/>
  </si>
  <si>
    <t>종이봉투(블랙) 40 x 30 x 10</t>
    <phoneticPr fontId="1" type="noConversion"/>
  </si>
  <si>
    <t>아날로그주방저울 주황</t>
    <phoneticPr fontId="1" type="noConversion"/>
  </si>
  <si>
    <t>아날로그주방저울 블루</t>
    <phoneticPr fontId="1" type="noConversion"/>
  </si>
  <si>
    <t>아날로그주방저울 그린</t>
    <phoneticPr fontId="1" type="noConversion"/>
  </si>
  <si>
    <t>카운터기 그린</t>
  </si>
  <si>
    <t>카운터기 레드</t>
  </si>
  <si>
    <t>카운터기 블랙</t>
  </si>
  <si>
    <t>카운터기 블루</t>
  </si>
  <si>
    <t>카운터기 옐로우</t>
  </si>
  <si>
    <t>카운터기 오렌지</t>
  </si>
  <si>
    <t>카운터기 핑크</t>
  </si>
  <si>
    <t>카운터기 화이트</t>
  </si>
  <si>
    <t>VBS-113 파스텔체중계 주황</t>
    <phoneticPr fontId="1" type="noConversion"/>
  </si>
  <si>
    <t>VBS-113 파스텔체중계 그린</t>
    <phoneticPr fontId="1" type="noConversion"/>
  </si>
  <si>
    <t>VBS-113 파스텔체중계 블루</t>
    <phoneticPr fontId="1" type="noConversion"/>
  </si>
  <si>
    <t>VBS-113 파스텔체중계 핑크</t>
    <phoneticPr fontId="1" type="noConversion"/>
  </si>
  <si>
    <t>백라이트골드 (강화유리체중계)</t>
    <phoneticPr fontId="1" type="noConversion"/>
  </si>
  <si>
    <t>백라이트블루 (강화유리체중계)</t>
    <phoneticPr fontId="1" type="noConversion"/>
  </si>
  <si>
    <t>백라이트플라워 (강화유리체중계)</t>
    <phoneticPr fontId="1" type="noConversion"/>
  </si>
  <si>
    <t>손저울블랙 (후루청)</t>
    <phoneticPr fontId="1" type="noConversion"/>
  </si>
  <si>
    <t>손저울블루 (후루청)</t>
    <phoneticPr fontId="1" type="noConversion"/>
  </si>
  <si>
    <t>손저울노랑 (후루청)</t>
    <phoneticPr fontId="1" type="noConversion"/>
  </si>
  <si>
    <t>손저울실버 (후루청)</t>
    <phoneticPr fontId="1" type="noConversion"/>
  </si>
  <si>
    <t>펌프 (발펌프)</t>
    <phoneticPr fontId="1" type="noConversion"/>
  </si>
  <si>
    <t>삼각대 (크로마키삼각대)</t>
    <phoneticPr fontId="1" type="noConversion"/>
  </si>
  <si>
    <t>대형LCD만보기 그린</t>
    <phoneticPr fontId="1" type="noConversion"/>
  </si>
  <si>
    <t>대형LCD만보기 블루</t>
    <phoneticPr fontId="1" type="noConversion"/>
  </si>
  <si>
    <t>대형LCD만보기 핑크</t>
    <phoneticPr fontId="1" type="noConversion"/>
  </si>
  <si>
    <t>대형LCD만보기 노랑</t>
    <phoneticPr fontId="1" type="noConversion"/>
  </si>
  <si>
    <t>대형LCD만보기 레드</t>
    <phoneticPr fontId="1" type="noConversion"/>
  </si>
  <si>
    <t>큐티태양열만보기 그린</t>
    <phoneticPr fontId="1" type="noConversion"/>
  </si>
  <si>
    <t>큐티태양열만보기 블루</t>
    <phoneticPr fontId="1" type="noConversion"/>
  </si>
  <si>
    <t>큐티태양열만보기 오렌지</t>
    <phoneticPr fontId="1" type="noConversion"/>
  </si>
  <si>
    <t>화이트태양열만보기</t>
    <phoneticPr fontId="1" type="noConversion"/>
  </si>
  <si>
    <t>카메라텐트 40사이즈</t>
  </si>
  <si>
    <t>카메라텐트 50사이즈</t>
  </si>
  <si>
    <t>카메라텐트 80사이즈</t>
  </si>
  <si>
    <t>투톤블랙블루악력기</t>
    <phoneticPr fontId="1" type="noConversion"/>
  </si>
  <si>
    <t>투톤블랙레드악력기</t>
    <phoneticPr fontId="1" type="noConversion"/>
  </si>
  <si>
    <t>투톤오렌지그레이악력기</t>
    <phoneticPr fontId="1" type="noConversion"/>
  </si>
  <si>
    <t>검정악력기</t>
    <phoneticPr fontId="1" type="noConversion"/>
  </si>
  <si>
    <t>블루악력기</t>
    <phoneticPr fontId="1" type="noConversion"/>
  </si>
  <si>
    <t>레드악력기</t>
    <phoneticPr fontId="1" type="noConversion"/>
  </si>
  <si>
    <t>강화유리사각 블랙체중계</t>
    <phoneticPr fontId="1" type="noConversion"/>
  </si>
  <si>
    <t>강화유리사각 골드체중계</t>
    <phoneticPr fontId="1" type="noConversion"/>
  </si>
  <si>
    <t>단종</t>
    <phoneticPr fontId="1" type="noConversion"/>
  </si>
  <si>
    <t>에어캡봉투 17 x 26</t>
    <phoneticPr fontId="1" type="noConversion"/>
  </si>
  <si>
    <t>에어캡봉투 22 x 26</t>
    <phoneticPr fontId="1" type="noConversion"/>
  </si>
  <si>
    <t>에어캡봉투 30 x 40</t>
    <phoneticPr fontId="1" type="noConversion"/>
  </si>
  <si>
    <t>에어캡봉투 40 x 60</t>
    <phoneticPr fontId="1" type="noConversion"/>
  </si>
  <si>
    <t>에어캡봉투 45 x 50</t>
    <phoneticPr fontId="1" type="noConversion"/>
  </si>
  <si>
    <t>예전공장 (단종)</t>
    <phoneticPr fontId="1" type="noConversion"/>
  </si>
  <si>
    <t>런닝머신오일 D2 550ml</t>
    <phoneticPr fontId="1" type="noConversion"/>
  </si>
  <si>
    <t>손저울 WH-A17 (로켓그로스)</t>
    <phoneticPr fontId="1" type="noConversion"/>
  </si>
  <si>
    <t>에어캡봉투 안전봉투 접착식포장 에어캡택배봉투, 1개, 50*60</t>
  </si>
  <si>
    <t>BOBOSCALE 초정밀저울 TL0001 0.001~50g (0.001g단위), 1개</t>
  </si>
  <si>
    <t>BOBOSCALE 포켓형 전자저울 MH-500(0.1g단위 최대 500g) MH-500D(0.01g 휴대용 정밀저울 포터블저울, MH-500</t>
  </si>
  <si>
    <t>휴대용 전자손저울 최대50kg 까지 측정가능 낚시용 개인용 매달림저울 여행용 주방용, 1개, 상세페이지 참조</t>
  </si>
  <si>
    <t>1kg 주방저울 0.1g 단위 전자저울 산업용 가정용, 1개, 단품</t>
  </si>
  <si>
    <t>옵션ID</t>
    <phoneticPr fontId="1" type="noConversion"/>
  </si>
  <si>
    <t>순판매액</t>
    <phoneticPr fontId="1" type="noConversion"/>
  </si>
  <si>
    <t>순판매수</t>
    <phoneticPr fontId="1" type="noConversion"/>
  </si>
  <si>
    <t>전체거래금액</t>
    <phoneticPr fontId="1" type="noConversion"/>
  </si>
  <si>
    <t>전체거래상품수</t>
    <phoneticPr fontId="1" type="noConversion"/>
  </si>
  <si>
    <t>총취소금액</t>
    <phoneticPr fontId="1" type="noConversion"/>
  </si>
  <si>
    <t>총취소상품수</t>
    <phoneticPr fontId="1" type="noConversion"/>
  </si>
  <si>
    <t>즉시취소상품수</t>
    <phoneticPr fontId="1" type="noConversion"/>
  </si>
  <si>
    <t>합계</t>
  </si>
  <si>
    <t>2024년10월14일</t>
    <phoneticPr fontId="1" type="noConversion"/>
  </si>
  <si>
    <t>강화유리사각 골드체중계</t>
  </si>
  <si>
    <t>옥션</t>
    <phoneticPr fontId="1" type="noConversion"/>
  </si>
  <si>
    <t>김재영</t>
    <phoneticPr fontId="1" type="noConversion"/>
  </si>
  <si>
    <t>김지애</t>
    <phoneticPr fontId="1" type="noConversion"/>
  </si>
  <si>
    <t>정유진</t>
    <phoneticPr fontId="1" type="noConversion"/>
  </si>
  <si>
    <t>한창균</t>
    <phoneticPr fontId="1" type="noConversion"/>
  </si>
  <si>
    <t>박주영</t>
    <phoneticPr fontId="1" type="noConversion"/>
  </si>
  <si>
    <t>장진욱</t>
    <phoneticPr fontId="1" type="noConversion"/>
  </si>
  <si>
    <t>강은지</t>
    <phoneticPr fontId="1" type="noConversion"/>
  </si>
  <si>
    <t>한유미</t>
    <phoneticPr fontId="1" type="noConversion"/>
  </si>
  <si>
    <t>쿠팡</t>
    <phoneticPr fontId="1" type="noConversion"/>
  </si>
  <si>
    <t>에어캡봉투 30 x 40</t>
  </si>
  <si>
    <t>네이버</t>
    <phoneticPr fontId="1" type="noConversion"/>
  </si>
  <si>
    <t>황현영</t>
    <phoneticPr fontId="1" type="noConversion"/>
  </si>
  <si>
    <t>박정현</t>
    <phoneticPr fontId="1" type="noConversion"/>
  </si>
  <si>
    <t>chang matthew ik</t>
    <phoneticPr fontId="1" type="noConversion"/>
  </si>
  <si>
    <t>TL0001</t>
  </si>
  <si>
    <t>쿠팡</t>
    <phoneticPr fontId="1" type="noConversion"/>
  </si>
  <si>
    <t xml:space="preserve">임명 </t>
    <phoneticPr fontId="1" type="noConversion"/>
  </si>
  <si>
    <t>서예은</t>
    <phoneticPr fontId="1" type="noConversion"/>
  </si>
  <si>
    <t>2024년10월15일</t>
    <phoneticPr fontId="1" type="noConversion"/>
  </si>
  <si>
    <t>런닝머신오일 D2 550ml</t>
  </si>
  <si>
    <t>옥셩</t>
    <phoneticPr fontId="1" type="noConversion"/>
  </si>
  <si>
    <t>명동삼한사랑채관리사무소</t>
    <phoneticPr fontId="1" type="noConversion"/>
  </si>
  <si>
    <t>최상순</t>
  </si>
  <si>
    <t>더블클립 60mm (6개들이)</t>
  </si>
  <si>
    <t>BOBOSCALE 포켓형 전자저울 MH-500(0.1g단위 최대 500g) MH-500D(0.01g 휴대용 정밀저울 포터블저울, MH-500D</t>
  </si>
  <si>
    <t>시든</t>
  </si>
  <si>
    <t>강화유리사각 블랙체중계</t>
  </si>
  <si>
    <t>조지선</t>
  </si>
  <si>
    <t>더블클립 19mm (40개들이)</t>
  </si>
  <si>
    <t>더블클립 25mm (48개들이)</t>
  </si>
  <si>
    <t>회사</t>
    <phoneticPr fontId="1" type="noConversion"/>
  </si>
  <si>
    <t>세종류 사이즈 구매.</t>
    <phoneticPr fontId="1" type="noConversion"/>
  </si>
  <si>
    <t>더블클립 41mm (24개들이)</t>
  </si>
  <si>
    <t>쿠팡</t>
    <phoneticPr fontId="1" type="noConversion"/>
  </si>
  <si>
    <t>조미수</t>
    <phoneticPr fontId="1" type="noConversion"/>
  </si>
  <si>
    <t>BOBOSCALE 초정밀저울 0.01g~1kg 주방저울 MH-999</t>
  </si>
  <si>
    <t>디지털체중계 미니디지털체중계 0.3~150kg 휴대용 체중계, 1개</t>
  </si>
  <si>
    <t>2024년10월16일</t>
    <phoneticPr fontId="1" type="noConversion"/>
  </si>
  <si>
    <t>문성희</t>
    <phoneticPr fontId="1" type="noConversion"/>
  </si>
  <si>
    <t>김정관</t>
    <phoneticPr fontId="1" type="noConversion"/>
  </si>
  <si>
    <t>송영광</t>
    <phoneticPr fontId="1" type="noConversion"/>
  </si>
  <si>
    <t>박보경</t>
    <phoneticPr fontId="1" type="noConversion"/>
  </si>
  <si>
    <t>쿠팡</t>
    <phoneticPr fontId="1" type="noConversion"/>
  </si>
  <si>
    <t>서 연</t>
    <phoneticPr fontId="1" type="noConversion"/>
  </si>
  <si>
    <t>2024년10월17일</t>
    <phoneticPr fontId="1" type="noConversion"/>
  </si>
  <si>
    <t>임정훈</t>
    <phoneticPr fontId="1" type="noConversion"/>
  </si>
  <si>
    <t>김정선</t>
  </si>
  <si>
    <t>고종빈</t>
  </si>
  <si>
    <t>김효정</t>
  </si>
  <si>
    <t>옥션</t>
    <phoneticPr fontId="1" type="noConversion"/>
  </si>
  <si>
    <t>쿠팡</t>
    <phoneticPr fontId="1" type="noConversion"/>
  </si>
  <si>
    <t>권장유지수량
(1개월이상유지)</t>
    <phoneticPr fontId="1" type="noConversion"/>
  </si>
  <si>
    <t>중국내 상시재고 상품아님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</si>
</sst>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굴림"/>
      <family val="3"/>
      <charset val="129"/>
    </font>
    <font>
      <sz val="9"/>
      <color theme="1"/>
      <name val="굴림"/>
      <family val="3"/>
      <charset val="129"/>
    </font>
    <font>
      <sz val="10"/>
      <color theme="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4" fontId="2" fillId="4" borderId="0" xfId="0" applyNumberFormat="1" applyFont="1" applyFill="1" applyAlignment="1">
      <alignment horizontal="center" vertical="center"/>
    </xf>
    <xf numFmtId="14" fontId="3" fillId="0" borderId="0" xfId="0" applyNumberFormat="1" applyFont="1">
      <alignment vertical="center"/>
    </xf>
    <xf numFmtId="0" fontId="2" fillId="5" borderId="0" xfId="0" applyFont="1" applyFill="1" applyAlignment="1">
      <alignment horizontal="center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0" fontId="4" fillId="0" borderId="0" xfId="0" applyFont="1">
      <alignment vertical="center"/>
    </xf>
    <xf numFmtId="49" fontId="4" fillId="0" borderId="0" xfId="0" applyNumberFormat="1" applyFont="1" applyAlignment="1"/>
    <xf numFmtId="0" fontId="3" fillId="0" borderId="0" xfId="0" applyFont="1" applyAlignment="1"/>
    <xf numFmtId="0" fontId="2" fillId="3" borderId="0" xfId="0" applyFont="1" applyFill="1" applyAlignment="1">
      <alignment horizontal="center" vertical="center" wrapText="1"/>
    </xf>
  </cellXfs>
  <cellStyles count="1">
    <cellStyle name="표준" xfId="0" builtinId="0"/>
  </cellStyles>
  <dxfs count="3"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FCCCC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99"/>
  <sheetViews>
    <sheetView workbookViewId="0">
      <pane ySplit="1" topLeftCell="A2" activePane="bottomLeft" state="frozen"/>
      <selection pane="bottomLeft" activeCell="E2" sqref="E2"/>
    </sheetView>
  </sheetViews>
  <sheetFormatPr defaultColWidth="8.58203125" defaultRowHeight="17.149999999999999" customHeight="1" x14ac:dyDescent="0.45"/>
  <cols>
    <col min="1" max="1" width="25.5" style="3" customWidth="1"/>
    <col min="2" max="3" width="13.25" style="3" customWidth="1"/>
    <col min="4" max="4" width="13.25" style="10" customWidth="1"/>
    <col min="5" max="5" width="27.33203125" style="3" customWidth="1"/>
    <col min="6" max="16384" width="8.58203125" style="3"/>
  </cols>
  <sheetData>
    <row r="1" spans="1:5" s="2" customFormat="1" ht="29.5" customHeight="1" x14ac:dyDescent="0.45">
      <c r="A1" s="4" t="s">
        <v>3</v>
      </c>
      <c r="B1" s="4" t="s">
        <v>4</v>
      </c>
      <c r="C1" s="4" t="s">
        <v>44</v>
      </c>
      <c r="D1" s="21" t="s">
        <v>192</v>
      </c>
      <c r="E1" s="4" t="s">
        <v>12</v>
      </c>
    </row>
    <row r="2" spans="1:5" ht="17.149999999999999" customHeight="1" x14ac:dyDescent="0.45">
      <c r="A2" s="3" t="s">
        <v>2</v>
      </c>
      <c r="B2" s="3">
        <v>6116</v>
      </c>
      <c r="C2" s="3">
        <v>13</v>
      </c>
      <c r="D2" s="10">
        <v>30</v>
      </c>
    </row>
    <row r="3" spans="1:5" ht="17.149999999999999" customHeight="1" x14ac:dyDescent="0.45">
      <c r="A3" s="3" t="s">
        <v>20</v>
      </c>
      <c r="B3" s="3">
        <v>3585</v>
      </c>
      <c r="C3" s="3">
        <v>16</v>
      </c>
      <c r="D3" s="10">
        <v>20</v>
      </c>
    </row>
    <row r="4" spans="1:5" ht="17.149999999999999" customHeight="1" x14ac:dyDescent="0.45">
      <c r="A4" s="3" t="s">
        <v>21</v>
      </c>
      <c r="B4" s="3">
        <v>5535</v>
      </c>
      <c r="C4" s="3">
        <v>48</v>
      </c>
      <c r="D4" s="10">
        <v>20</v>
      </c>
    </row>
    <row r="5" spans="1:5" ht="17.149999999999999" customHeight="1" x14ac:dyDescent="0.45">
      <c r="A5" s="3" t="s">
        <v>1</v>
      </c>
      <c r="B5" s="3">
        <v>8316</v>
      </c>
      <c r="C5" s="3">
        <v>72</v>
      </c>
      <c r="D5" s="10">
        <v>30</v>
      </c>
    </row>
    <row r="6" spans="1:5" ht="17.149999999999999" customHeight="1" x14ac:dyDescent="0.45">
      <c r="A6" s="3" t="s">
        <v>31</v>
      </c>
      <c r="B6" s="3">
        <v>12151</v>
      </c>
      <c r="C6" s="3">
        <v>0</v>
      </c>
      <c r="D6" s="10">
        <v>0</v>
      </c>
      <c r="E6" s="3" t="s">
        <v>115</v>
      </c>
    </row>
    <row r="7" spans="1:5" ht="17.149999999999999" customHeight="1" x14ac:dyDescent="0.45">
      <c r="A7" s="3" t="s">
        <v>32</v>
      </c>
      <c r="B7" s="3">
        <v>14299</v>
      </c>
      <c r="C7" s="3">
        <v>0</v>
      </c>
      <c r="D7" s="10">
        <v>0</v>
      </c>
      <c r="E7" s="3" t="s">
        <v>115</v>
      </c>
    </row>
    <row r="8" spans="1:5" ht="17.149999999999999" customHeight="1" x14ac:dyDescent="0.45">
      <c r="A8" s="3" t="s">
        <v>0</v>
      </c>
      <c r="B8" s="3">
        <v>14841</v>
      </c>
      <c r="C8" s="3">
        <v>22</v>
      </c>
      <c r="D8" s="10">
        <v>60</v>
      </c>
    </row>
    <row r="9" spans="1:5" ht="17.149999999999999" customHeight="1" x14ac:dyDescent="0.45">
      <c r="A9" s="3" t="s">
        <v>83</v>
      </c>
      <c r="B9" s="3">
        <v>7700</v>
      </c>
      <c r="C9" s="3">
        <v>3</v>
      </c>
      <c r="D9" s="10">
        <v>0</v>
      </c>
    </row>
    <row r="10" spans="1:5" ht="17.149999999999999" customHeight="1" x14ac:dyDescent="0.45">
      <c r="A10" s="3" t="s">
        <v>84</v>
      </c>
      <c r="B10" s="3">
        <v>7700</v>
      </c>
      <c r="C10" s="3">
        <v>1</v>
      </c>
      <c r="D10" s="10">
        <v>0</v>
      </c>
    </row>
    <row r="11" spans="1:5" ht="17.149999999999999" customHeight="1" x14ac:dyDescent="0.45">
      <c r="A11" s="3" t="s">
        <v>82</v>
      </c>
      <c r="B11" s="3">
        <v>7700</v>
      </c>
      <c r="C11" s="3">
        <v>1</v>
      </c>
      <c r="D11" s="10">
        <v>0</v>
      </c>
    </row>
    <row r="12" spans="1:5" ht="17.149999999999999" customHeight="1" x14ac:dyDescent="0.45">
      <c r="A12" s="3" t="s">
        <v>85</v>
      </c>
      <c r="B12" s="3">
        <v>7700</v>
      </c>
      <c r="C12" s="3">
        <v>2</v>
      </c>
      <c r="D12" s="10">
        <v>0</v>
      </c>
    </row>
    <row r="13" spans="1:5" ht="17.149999999999999" customHeight="1" x14ac:dyDescent="0.45">
      <c r="A13" s="3" t="s">
        <v>114</v>
      </c>
      <c r="B13" s="3">
        <v>3930</v>
      </c>
      <c r="C13" s="3">
        <v>11</v>
      </c>
      <c r="D13" s="10">
        <v>5</v>
      </c>
    </row>
    <row r="14" spans="1:5" ht="17.149999999999999" customHeight="1" x14ac:dyDescent="0.45">
      <c r="A14" s="3" t="s">
        <v>113</v>
      </c>
      <c r="B14" s="3">
        <v>3930</v>
      </c>
      <c r="C14" s="3">
        <v>82</v>
      </c>
      <c r="D14" s="10">
        <v>30</v>
      </c>
    </row>
    <row r="15" spans="1:5" ht="17.149999999999999" customHeight="1" x14ac:dyDescent="0.45">
      <c r="A15" s="3" t="s">
        <v>28</v>
      </c>
      <c r="B15" s="3">
        <v>6598</v>
      </c>
      <c r="C15" s="3">
        <v>40</v>
      </c>
      <c r="D15" s="10">
        <v>0</v>
      </c>
    </row>
    <row r="16" spans="1:5" ht="17.149999999999999" customHeight="1" x14ac:dyDescent="0.45">
      <c r="A16" s="3" t="s">
        <v>110</v>
      </c>
      <c r="B16" s="3">
        <v>346</v>
      </c>
      <c r="C16" s="3">
        <v>16</v>
      </c>
      <c r="D16" s="10">
        <v>0</v>
      </c>
    </row>
    <row r="17" spans="1:4" ht="17.149999999999999" customHeight="1" x14ac:dyDescent="0.45">
      <c r="A17" s="3" t="s">
        <v>95</v>
      </c>
      <c r="B17" s="3">
        <v>2655</v>
      </c>
      <c r="C17" s="3">
        <v>0</v>
      </c>
      <c r="D17" s="10">
        <v>0</v>
      </c>
    </row>
    <row r="18" spans="1:4" ht="17.149999999999999" customHeight="1" x14ac:dyDescent="0.45">
      <c r="A18" s="3" t="s">
        <v>98</v>
      </c>
      <c r="B18" s="3">
        <v>2655</v>
      </c>
      <c r="C18" s="3">
        <v>1</v>
      </c>
      <c r="D18" s="10">
        <v>0</v>
      </c>
    </row>
    <row r="19" spans="1:4" ht="17.149999999999999" customHeight="1" x14ac:dyDescent="0.45">
      <c r="A19" s="3" t="s">
        <v>99</v>
      </c>
      <c r="B19" s="3">
        <v>2655</v>
      </c>
      <c r="C19" s="3">
        <v>0</v>
      </c>
      <c r="D19" s="10">
        <v>0</v>
      </c>
    </row>
    <row r="20" spans="1:4" ht="17.149999999999999" customHeight="1" x14ac:dyDescent="0.45">
      <c r="A20" s="3" t="s">
        <v>96</v>
      </c>
      <c r="B20" s="3">
        <v>2655</v>
      </c>
      <c r="C20" s="3">
        <v>40</v>
      </c>
      <c r="D20" s="10">
        <v>0</v>
      </c>
    </row>
    <row r="21" spans="1:4" ht="17.149999999999999" customHeight="1" x14ac:dyDescent="0.45">
      <c r="A21" s="3" t="s">
        <v>97</v>
      </c>
      <c r="B21" s="3">
        <v>2655</v>
      </c>
      <c r="C21" s="3">
        <v>96</v>
      </c>
      <c r="D21" s="10">
        <v>0</v>
      </c>
    </row>
    <row r="22" spans="1:4" ht="17.149999999999999" customHeight="1" x14ac:dyDescent="0.45">
      <c r="A22" s="3" t="s">
        <v>14</v>
      </c>
      <c r="B22" s="3">
        <v>803</v>
      </c>
      <c r="C22" s="3">
        <v>51</v>
      </c>
      <c r="D22" s="10">
        <v>100</v>
      </c>
    </row>
    <row r="23" spans="1:4" ht="17.149999999999999" customHeight="1" x14ac:dyDescent="0.45">
      <c r="A23" s="3" t="s">
        <v>15</v>
      </c>
      <c r="B23" s="3">
        <v>696</v>
      </c>
      <c r="C23" s="3">
        <v>166</v>
      </c>
      <c r="D23" s="10">
        <v>30</v>
      </c>
    </row>
    <row r="24" spans="1:4" ht="17.149999999999999" customHeight="1" x14ac:dyDescent="0.45">
      <c r="A24" s="3" t="s">
        <v>16</v>
      </c>
      <c r="B24" s="3">
        <v>1217</v>
      </c>
      <c r="C24" s="3">
        <v>66</v>
      </c>
      <c r="D24" s="10">
        <v>15</v>
      </c>
    </row>
    <row r="25" spans="1:4" ht="17.149999999999999" customHeight="1" x14ac:dyDescent="0.45">
      <c r="A25" s="3" t="s">
        <v>17</v>
      </c>
      <c r="B25" s="3">
        <v>1490</v>
      </c>
      <c r="C25" s="3">
        <v>31</v>
      </c>
      <c r="D25" s="10">
        <v>10</v>
      </c>
    </row>
    <row r="26" spans="1:4" ht="17.149999999999999" customHeight="1" x14ac:dyDescent="0.45">
      <c r="A26" s="3" t="s">
        <v>18</v>
      </c>
      <c r="B26" s="3">
        <v>1143</v>
      </c>
      <c r="C26" s="3">
        <v>45</v>
      </c>
      <c r="D26" s="10">
        <v>5</v>
      </c>
    </row>
    <row r="27" spans="1:4" ht="17.149999999999999" customHeight="1" x14ac:dyDescent="0.45">
      <c r="A27" s="3" t="s">
        <v>19</v>
      </c>
      <c r="B27" s="3">
        <v>2311</v>
      </c>
      <c r="C27" s="3">
        <v>40</v>
      </c>
      <c r="D27" s="10">
        <v>10</v>
      </c>
    </row>
    <row r="28" spans="1:4" ht="17.149999999999999" customHeight="1" x14ac:dyDescent="0.45">
      <c r="A28" s="3" t="s">
        <v>122</v>
      </c>
      <c r="B28" s="3">
        <v>8470</v>
      </c>
      <c r="C28" s="3">
        <v>7</v>
      </c>
      <c r="D28" s="10">
        <v>3</v>
      </c>
    </row>
    <row r="29" spans="1:4" ht="17.149999999999999" customHeight="1" x14ac:dyDescent="0.45">
      <c r="A29" s="3" t="s">
        <v>24</v>
      </c>
      <c r="B29" s="3">
        <v>6050</v>
      </c>
      <c r="C29" s="3">
        <v>5</v>
      </c>
      <c r="D29" s="10">
        <v>3</v>
      </c>
    </row>
    <row r="30" spans="1:4" ht="17.149999999999999" customHeight="1" x14ac:dyDescent="0.45">
      <c r="A30" s="3" t="s">
        <v>112</v>
      </c>
      <c r="B30" s="3">
        <v>346</v>
      </c>
      <c r="C30" s="3">
        <v>5</v>
      </c>
      <c r="D30" s="10">
        <v>0</v>
      </c>
    </row>
    <row r="31" spans="1:4" ht="17.149999999999999" customHeight="1" x14ac:dyDescent="0.45">
      <c r="A31" s="3" t="s">
        <v>22</v>
      </c>
      <c r="B31" s="3">
        <v>6240</v>
      </c>
      <c r="C31" s="3">
        <v>59</v>
      </c>
      <c r="D31" s="10">
        <v>10</v>
      </c>
    </row>
    <row r="32" spans="1:4" ht="17.149999999999999" customHeight="1" x14ac:dyDescent="0.45">
      <c r="A32" s="3" t="s">
        <v>86</v>
      </c>
      <c r="B32" s="3">
        <v>5948</v>
      </c>
      <c r="C32" s="3">
        <v>7</v>
      </c>
      <c r="D32" s="10">
        <v>0</v>
      </c>
    </row>
    <row r="33" spans="1:5" ht="17.149999999999999" customHeight="1" x14ac:dyDescent="0.45">
      <c r="A33" s="3" t="s">
        <v>87</v>
      </c>
      <c r="B33" s="3">
        <v>5948</v>
      </c>
      <c r="C33" s="3">
        <v>0</v>
      </c>
      <c r="D33" s="10">
        <v>0</v>
      </c>
    </row>
    <row r="34" spans="1:5" ht="17.149999999999999" customHeight="1" x14ac:dyDescent="0.45">
      <c r="A34" s="3" t="s">
        <v>88</v>
      </c>
      <c r="B34" s="3">
        <v>5948</v>
      </c>
      <c r="C34" s="3">
        <v>12</v>
      </c>
      <c r="D34" s="10">
        <v>0</v>
      </c>
    </row>
    <row r="35" spans="1:5" ht="17.149999999999999" customHeight="1" x14ac:dyDescent="0.45">
      <c r="A35" s="3" t="s">
        <v>111</v>
      </c>
      <c r="B35" s="3">
        <v>346</v>
      </c>
      <c r="C35" s="3">
        <v>4</v>
      </c>
      <c r="D35" s="10">
        <v>0</v>
      </c>
    </row>
    <row r="36" spans="1:5" ht="17.149999999999999" customHeight="1" x14ac:dyDescent="0.45">
      <c r="A36" s="3" t="s">
        <v>94</v>
      </c>
      <c r="B36" s="3">
        <v>8520</v>
      </c>
      <c r="C36" s="3">
        <v>28</v>
      </c>
      <c r="D36" s="10">
        <v>5</v>
      </c>
    </row>
    <row r="37" spans="1:5" ht="17.149999999999999" customHeight="1" x14ac:dyDescent="0.45">
      <c r="A37" s="3" t="s">
        <v>26</v>
      </c>
      <c r="B37" s="3">
        <v>4867</v>
      </c>
      <c r="C37" s="3">
        <v>86</v>
      </c>
      <c r="D37" s="10">
        <v>5</v>
      </c>
    </row>
    <row r="38" spans="1:5" ht="17.149999999999999" customHeight="1" x14ac:dyDescent="0.45">
      <c r="A38" s="3" t="s">
        <v>27</v>
      </c>
      <c r="B38" s="3">
        <v>5186</v>
      </c>
      <c r="C38" s="3">
        <v>24</v>
      </c>
      <c r="D38" s="10">
        <v>5</v>
      </c>
    </row>
    <row r="39" spans="1:5" ht="17.149999999999999" customHeight="1" x14ac:dyDescent="0.45">
      <c r="A39" s="3" t="s">
        <v>123</v>
      </c>
      <c r="B39" s="3">
        <v>3405</v>
      </c>
      <c r="C39" s="3">
        <v>36</v>
      </c>
      <c r="D39" s="10">
        <v>100</v>
      </c>
    </row>
    <row r="40" spans="1:5" ht="17.149999999999999" customHeight="1" x14ac:dyDescent="0.45">
      <c r="A40" s="3" t="s">
        <v>91</v>
      </c>
      <c r="B40" s="3">
        <v>3129</v>
      </c>
      <c r="C40" s="3">
        <v>25</v>
      </c>
      <c r="D40" s="10">
        <v>5</v>
      </c>
    </row>
    <row r="41" spans="1:5" ht="17.149999999999999" customHeight="1" x14ac:dyDescent="0.45">
      <c r="A41" s="3" t="s">
        <v>89</v>
      </c>
      <c r="B41" s="3">
        <v>3129</v>
      </c>
      <c r="C41" s="3">
        <v>24</v>
      </c>
      <c r="D41" s="10">
        <v>5</v>
      </c>
    </row>
    <row r="42" spans="1:5" ht="17.149999999999999" customHeight="1" x14ac:dyDescent="0.45">
      <c r="A42" s="3" t="s">
        <v>90</v>
      </c>
      <c r="B42" s="3">
        <v>3129</v>
      </c>
      <c r="C42" s="3">
        <v>26</v>
      </c>
      <c r="D42" s="10">
        <v>5</v>
      </c>
    </row>
    <row r="43" spans="1:5" ht="17.149999999999999" customHeight="1" x14ac:dyDescent="0.45">
      <c r="A43" s="3" t="s">
        <v>92</v>
      </c>
      <c r="B43" s="3">
        <v>3129</v>
      </c>
      <c r="C43" s="3">
        <v>0</v>
      </c>
      <c r="D43" s="10">
        <v>0</v>
      </c>
      <c r="E43" s="3" t="s">
        <v>193</v>
      </c>
    </row>
    <row r="44" spans="1:5" ht="17.149999999999999" customHeight="1" x14ac:dyDescent="0.45">
      <c r="A44" s="3" t="s">
        <v>73</v>
      </c>
      <c r="B44" s="3">
        <v>3050</v>
      </c>
      <c r="C44" s="3">
        <v>14</v>
      </c>
      <c r="D44" s="10">
        <v>2</v>
      </c>
    </row>
    <row r="45" spans="1:5" ht="17.149999999999999" customHeight="1" x14ac:dyDescent="0.45">
      <c r="A45" s="3" t="s">
        <v>72</v>
      </c>
      <c r="B45" s="3">
        <v>3050</v>
      </c>
      <c r="C45" s="3">
        <v>18</v>
      </c>
      <c r="D45" s="10">
        <v>2</v>
      </c>
    </row>
    <row r="46" spans="1:5" ht="17.149999999999999" customHeight="1" x14ac:dyDescent="0.45">
      <c r="A46" s="3" t="s">
        <v>71</v>
      </c>
      <c r="B46" s="3">
        <v>3050</v>
      </c>
      <c r="C46" s="3">
        <v>15</v>
      </c>
      <c r="D46" s="10">
        <v>2</v>
      </c>
    </row>
    <row r="47" spans="1:5" ht="17.149999999999999" customHeight="1" x14ac:dyDescent="0.45">
      <c r="A47" s="3" t="s">
        <v>47</v>
      </c>
      <c r="B47" s="3">
        <v>25</v>
      </c>
      <c r="C47" s="3">
        <v>680</v>
      </c>
      <c r="D47" s="10">
        <v>100</v>
      </c>
    </row>
    <row r="48" spans="1:5" ht="17.149999999999999" customHeight="1" x14ac:dyDescent="0.45">
      <c r="A48" s="3" t="s">
        <v>46</v>
      </c>
      <c r="B48" s="3">
        <v>48</v>
      </c>
      <c r="C48" s="3">
        <v>458</v>
      </c>
      <c r="D48" s="10">
        <v>100</v>
      </c>
    </row>
    <row r="49" spans="1:5" ht="17.149999999999999" customHeight="1" x14ac:dyDescent="0.45">
      <c r="A49" s="3" t="s">
        <v>116</v>
      </c>
      <c r="B49" s="3">
        <v>67</v>
      </c>
      <c r="C49" s="3">
        <v>80</v>
      </c>
      <c r="D49" s="10">
        <v>0</v>
      </c>
      <c r="E49" s="3" t="s">
        <v>121</v>
      </c>
    </row>
    <row r="50" spans="1:5" ht="17.149999999999999" customHeight="1" x14ac:dyDescent="0.45">
      <c r="A50" s="3" t="s">
        <v>45</v>
      </c>
      <c r="B50" s="3">
        <v>66</v>
      </c>
      <c r="C50" s="3">
        <v>230</v>
      </c>
      <c r="D50" s="10">
        <v>100</v>
      </c>
    </row>
    <row r="51" spans="1:5" ht="17.149999999999999" customHeight="1" x14ac:dyDescent="0.45">
      <c r="A51" s="3" t="s">
        <v>48</v>
      </c>
      <c r="B51" s="3">
        <v>65</v>
      </c>
      <c r="C51" s="3">
        <v>182</v>
      </c>
      <c r="D51" s="10">
        <v>100</v>
      </c>
    </row>
    <row r="52" spans="1:5" ht="17.149999999999999" customHeight="1" x14ac:dyDescent="0.45">
      <c r="A52" s="3" t="s">
        <v>49</v>
      </c>
      <c r="B52" s="3">
        <v>72</v>
      </c>
      <c r="C52" s="3">
        <v>169</v>
      </c>
      <c r="D52" s="10">
        <v>100</v>
      </c>
    </row>
    <row r="53" spans="1:5" ht="17.149999999999999" customHeight="1" x14ac:dyDescent="0.45">
      <c r="A53" s="3" t="s">
        <v>117</v>
      </c>
      <c r="B53" s="3">
        <v>91</v>
      </c>
      <c r="C53" s="3">
        <v>215</v>
      </c>
      <c r="D53" s="10">
        <v>0</v>
      </c>
      <c r="E53" s="3" t="s">
        <v>121</v>
      </c>
    </row>
    <row r="54" spans="1:5" ht="17.149999999999999" customHeight="1" x14ac:dyDescent="0.45">
      <c r="A54" s="3" t="s">
        <v>50</v>
      </c>
      <c r="B54" s="3">
        <v>75</v>
      </c>
      <c r="C54" s="3">
        <v>195</v>
      </c>
      <c r="D54" s="10">
        <v>100</v>
      </c>
    </row>
    <row r="55" spans="1:5" ht="17.149999999999999" customHeight="1" x14ac:dyDescent="0.45">
      <c r="A55" s="3" t="s">
        <v>51</v>
      </c>
      <c r="B55" s="3">
        <v>110</v>
      </c>
      <c r="C55" s="3">
        <v>160</v>
      </c>
      <c r="D55" s="10">
        <v>100</v>
      </c>
    </row>
    <row r="56" spans="1:5" ht="17.149999999999999" customHeight="1" x14ac:dyDescent="0.45">
      <c r="A56" s="3" t="s">
        <v>52</v>
      </c>
      <c r="B56" s="3">
        <v>140</v>
      </c>
      <c r="C56" s="3">
        <v>360</v>
      </c>
      <c r="D56" s="10">
        <v>100</v>
      </c>
    </row>
    <row r="57" spans="1:5" ht="17.149999999999999" customHeight="1" x14ac:dyDescent="0.45">
      <c r="A57" s="3" t="s">
        <v>53</v>
      </c>
      <c r="B57" s="3">
        <v>118</v>
      </c>
      <c r="C57" s="3">
        <v>220</v>
      </c>
      <c r="D57" s="10">
        <v>100</v>
      </c>
    </row>
    <row r="58" spans="1:5" ht="17.149999999999999" customHeight="1" x14ac:dyDescent="0.45">
      <c r="A58" s="3" t="s">
        <v>118</v>
      </c>
      <c r="B58" s="3">
        <v>176</v>
      </c>
      <c r="C58" s="3">
        <v>215</v>
      </c>
      <c r="D58" s="10">
        <v>0</v>
      </c>
      <c r="E58" s="3" t="s">
        <v>121</v>
      </c>
    </row>
    <row r="59" spans="1:5" ht="17.149999999999999" customHeight="1" x14ac:dyDescent="0.45">
      <c r="A59" s="3" t="s">
        <v>54</v>
      </c>
      <c r="B59" s="3">
        <v>177</v>
      </c>
      <c r="C59" s="3">
        <v>170</v>
      </c>
      <c r="D59" s="10">
        <v>100</v>
      </c>
    </row>
    <row r="60" spans="1:5" ht="17.149999999999999" customHeight="1" x14ac:dyDescent="0.45">
      <c r="A60" s="3" t="s">
        <v>55</v>
      </c>
      <c r="B60" s="3">
        <v>166</v>
      </c>
      <c r="C60" s="3">
        <v>190</v>
      </c>
      <c r="D60" s="10">
        <v>100</v>
      </c>
    </row>
    <row r="61" spans="1:5" ht="17.149999999999999" customHeight="1" x14ac:dyDescent="0.45">
      <c r="A61" s="3" t="s">
        <v>56</v>
      </c>
      <c r="B61" s="3">
        <v>181</v>
      </c>
      <c r="C61" s="3">
        <v>285</v>
      </c>
      <c r="D61" s="10">
        <v>100</v>
      </c>
    </row>
    <row r="62" spans="1:5" ht="17.149999999999999" customHeight="1" x14ac:dyDescent="0.45">
      <c r="A62" s="3" t="s">
        <v>57</v>
      </c>
      <c r="B62" s="3">
        <v>208</v>
      </c>
      <c r="C62" s="3">
        <v>176</v>
      </c>
      <c r="D62" s="10">
        <v>100</v>
      </c>
    </row>
    <row r="63" spans="1:5" ht="17.149999999999999" customHeight="1" x14ac:dyDescent="0.45">
      <c r="A63" s="3" t="s">
        <v>119</v>
      </c>
      <c r="B63" s="3">
        <v>341</v>
      </c>
      <c r="C63" s="3">
        <v>190</v>
      </c>
      <c r="D63" s="10">
        <v>0</v>
      </c>
      <c r="E63" s="3" t="s">
        <v>121</v>
      </c>
    </row>
    <row r="64" spans="1:5" ht="17.149999999999999" customHeight="1" x14ac:dyDescent="0.45">
      <c r="A64" s="3" t="s">
        <v>58</v>
      </c>
      <c r="B64" s="3">
        <v>257</v>
      </c>
      <c r="C64" s="3">
        <v>96</v>
      </c>
      <c r="D64" s="10">
        <v>0</v>
      </c>
      <c r="E64" s="3" t="s">
        <v>121</v>
      </c>
    </row>
    <row r="65" spans="1:5" ht="17.149999999999999" customHeight="1" x14ac:dyDescent="0.45">
      <c r="A65" s="3" t="s">
        <v>120</v>
      </c>
      <c r="B65" s="3">
        <v>328</v>
      </c>
      <c r="C65" s="3">
        <v>147</v>
      </c>
      <c r="D65" s="10">
        <v>100</v>
      </c>
    </row>
    <row r="66" spans="1:5" ht="17.149999999999999" customHeight="1" x14ac:dyDescent="0.45">
      <c r="A66" s="3" t="s">
        <v>59</v>
      </c>
      <c r="B66" s="3">
        <v>315</v>
      </c>
      <c r="C66" s="3">
        <v>131</v>
      </c>
      <c r="D66" s="10">
        <v>100</v>
      </c>
    </row>
    <row r="67" spans="1:5" ht="17.149999999999999" customHeight="1" x14ac:dyDescent="0.45">
      <c r="A67" s="3" t="s">
        <v>60</v>
      </c>
      <c r="B67" s="3">
        <v>337</v>
      </c>
      <c r="C67" s="3">
        <v>98</v>
      </c>
      <c r="D67" s="10">
        <v>100</v>
      </c>
    </row>
    <row r="68" spans="1:5" ht="17.149999999999999" customHeight="1" x14ac:dyDescent="0.45">
      <c r="A68" s="3" t="s">
        <v>66</v>
      </c>
      <c r="B68" s="3">
        <v>147</v>
      </c>
      <c r="C68" s="3">
        <v>100</v>
      </c>
      <c r="D68" s="10">
        <v>50</v>
      </c>
    </row>
    <row r="69" spans="1:5" ht="17.149999999999999" customHeight="1" x14ac:dyDescent="0.45">
      <c r="A69" s="3" t="s">
        <v>67</v>
      </c>
      <c r="B69" s="3">
        <v>222</v>
      </c>
      <c r="C69" s="3">
        <v>143</v>
      </c>
      <c r="D69" s="10">
        <v>50</v>
      </c>
    </row>
    <row r="70" spans="1:5" ht="17.149999999999999" customHeight="1" x14ac:dyDescent="0.45">
      <c r="A70" s="3" t="s">
        <v>68</v>
      </c>
      <c r="B70" s="3">
        <v>296</v>
      </c>
      <c r="C70" s="3">
        <v>241</v>
      </c>
      <c r="D70" s="10">
        <v>50</v>
      </c>
    </row>
    <row r="71" spans="1:5" ht="17.149999999999999" customHeight="1" x14ac:dyDescent="0.45">
      <c r="A71" s="3" t="s">
        <v>69</v>
      </c>
      <c r="B71" s="3">
        <v>413</v>
      </c>
      <c r="C71" s="3">
        <v>150</v>
      </c>
      <c r="D71" s="10">
        <v>50</v>
      </c>
    </row>
    <row r="72" spans="1:5" ht="17.149999999999999" customHeight="1" x14ac:dyDescent="0.45">
      <c r="A72" s="3" t="s">
        <v>70</v>
      </c>
      <c r="B72" s="3">
        <v>451</v>
      </c>
      <c r="C72" s="3">
        <v>100</v>
      </c>
      <c r="D72" s="10">
        <v>50</v>
      </c>
    </row>
    <row r="73" spans="1:5" ht="17.149999999999999" customHeight="1" x14ac:dyDescent="0.45">
      <c r="A73" s="3" t="s">
        <v>61</v>
      </c>
      <c r="B73" s="3">
        <v>107</v>
      </c>
      <c r="C73" s="3">
        <v>163</v>
      </c>
      <c r="D73" s="10">
        <v>80</v>
      </c>
    </row>
    <row r="74" spans="1:5" ht="17.149999999999999" customHeight="1" x14ac:dyDescent="0.45">
      <c r="A74" s="3" t="s">
        <v>62</v>
      </c>
      <c r="B74" s="3">
        <v>168</v>
      </c>
      <c r="C74" s="3">
        <v>98</v>
      </c>
      <c r="D74" s="10">
        <v>80</v>
      </c>
    </row>
    <row r="75" spans="1:5" ht="17.149999999999999" customHeight="1" x14ac:dyDescent="0.45">
      <c r="A75" s="3" t="s">
        <v>63</v>
      </c>
      <c r="B75" s="3">
        <v>218</v>
      </c>
      <c r="C75" s="3">
        <v>128</v>
      </c>
      <c r="D75" s="10">
        <v>80</v>
      </c>
    </row>
    <row r="76" spans="1:5" ht="17.149999999999999" customHeight="1" x14ac:dyDescent="0.45">
      <c r="A76" s="3" t="s">
        <v>64</v>
      </c>
      <c r="B76" s="3">
        <v>314</v>
      </c>
      <c r="C76" s="3">
        <v>128</v>
      </c>
      <c r="D76" s="10">
        <v>80</v>
      </c>
    </row>
    <row r="77" spans="1:5" ht="17.149999999999999" customHeight="1" x14ac:dyDescent="0.45">
      <c r="A77" s="3" t="s">
        <v>65</v>
      </c>
      <c r="B77" s="3">
        <v>345</v>
      </c>
      <c r="C77" s="3">
        <v>105</v>
      </c>
      <c r="D77" s="10">
        <v>80</v>
      </c>
    </row>
    <row r="78" spans="1:5" ht="17.149999999999999" customHeight="1" x14ac:dyDescent="0.45">
      <c r="A78" s="3" t="s">
        <v>104</v>
      </c>
      <c r="B78" s="3">
        <v>9334</v>
      </c>
      <c r="C78" s="3">
        <v>0</v>
      </c>
      <c r="D78" s="10">
        <v>0</v>
      </c>
      <c r="E78" s="3" t="s">
        <v>115</v>
      </c>
    </row>
    <row r="79" spans="1:5" ht="17.149999999999999" customHeight="1" x14ac:dyDescent="0.45">
      <c r="A79" s="3" t="s">
        <v>105</v>
      </c>
      <c r="B79" s="3">
        <v>12231</v>
      </c>
      <c r="C79" s="3">
        <v>54</v>
      </c>
      <c r="D79" s="10">
        <v>10</v>
      </c>
    </row>
    <row r="80" spans="1:5" ht="17.149999999999999" customHeight="1" x14ac:dyDescent="0.45">
      <c r="A80" s="3" t="s">
        <v>106</v>
      </c>
      <c r="B80" s="3">
        <v>17342</v>
      </c>
      <c r="C80" s="3">
        <v>85</v>
      </c>
      <c r="D80" s="10">
        <v>10</v>
      </c>
    </row>
    <row r="81" spans="1:4" ht="17.149999999999999" customHeight="1" x14ac:dyDescent="0.45">
      <c r="A81" s="3" t="s">
        <v>74</v>
      </c>
      <c r="B81" s="3">
        <v>900</v>
      </c>
      <c r="C81" s="3">
        <v>51</v>
      </c>
      <c r="D81" s="10">
        <v>50</v>
      </c>
    </row>
    <row r="82" spans="1:4" ht="17.149999999999999" customHeight="1" x14ac:dyDescent="0.45">
      <c r="A82" s="3" t="s">
        <v>75</v>
      </c>
      <c r="B82" s="3">
        <v>900</v>
      </c>
      <c r="C82" s="3">
        <v>62</v>
      </c>
      <c r="D82" s="10">
        <v>50</v>
      </c>
    </row>
    <row r="83" spans="1:4" ht="17.149999999999999" customHeight="1" x14ac:dyDescent="0.45">
      <c r="A83" s="3" t="s">
        <v>76</v>
      </c>
      <c r="B83" s="3">
        <v>900</v>
      </c>
      <c r="C83" s="3">
        <v>22</v>
      </c>
      <c r="D83" s="10">
        <v>50</v>
      </c>
    </row>
    <row r="84" spans="1:4" ht="17.149999999999999" customHeight="1" x14ac:dyDescent="0.45">
      <c r="A84" s="3" t="s">
        <v>77</v>
      </c>
      <c r="B84" s="3">
        <v>900</v>
      </c>
      <c r="C84" s="3">
        <v>54</v>
      </c>
      <c r="D84" s="10">
        <v>50</v>
      </c>
    </row>
    <row r="85" spans="1:4" ht="17.149999999999999" customHeight="1" x14ac:dyDescent="0.45">
      <c r="A85" s="3" t="s">
        <v>78</v>
      </c>
      <c r="B85" s="3">
        <v>900</v>
      </c>
      <c r="C85" s="3">
        <v>171</v>
      </c>
      <c r="D85" s="10">
        <v>100</v>
      </c>
    </row>
    <row r="86" spans="1:4" ht="17.149999999999999" customHeight="1" x14ac:dyDescent="0.45">
      <c r="A86" s="3" t="s">
        <v>79</v>
      </c>
      <c r="B86" s="3">
        <v>900</v>
      </c>
      <c r="C86" s="3">
        <v>75</v>
      </c>
      <c r="D86" s="10">
        <v>50</v>
      </c>
    </row>
    <row r="87" spans="1:4" ht="17.149999999999999" customHeight="1" x14ac:dyDescent="0.45">
      <c r="A87" s="3" t="s">
        <v>80</v>
      </c>
      <c r="B87" s="3">
        <v>900</v>
      </c>
      <c r="C87" s="3">
        <v>25</v>
      </c>
      <c r="D87" s="10">
        <v>50</v>
      </c>
    </row>
    <row r="88" spans="1:4" ht="17.149999999999999" customHeight="1" x14ac:dyDescent="0.45">
      <c r="A88" s="3" t="s">
        <v>81</v>
      </c>
      <c r="B88" s="3">
        <v>900</v>
      </c>
      <c r="C88" s="3">
        <v>82</v>
      </c>
      <c r="D88" s="10">
        <v>50</v>
      </c>
    </row>
    <row r="89" spans="1:4" ht="17.149999999999999" customHeight="1" x14ac:dyDescent="0.45">
      <c r="A89" s="3" t="s">
        <v>100</v>
      </c>
      <c r="B89" s="3">
        <v>2835</v>
      </c>
      <c r="C89" s="3">
        <v>2</v>
      </c>
      <c r="D89" s="10">
        <v>0</v>
      </c>
    </row>
    <row r="90" spans="1:4" ht="17.149999999999999" customHeight="1" x14ac:dyDescent="0.45">
      <c r="A90" s="3" t="s">
        <v>101</v>
      </c>
      <c r="B90" s="3">
        <v>2835</v>
      </c>
      <c r="C90" s="3">
        <v>2</v>
      </c>
      <c r="D90" s="10">
        <v>0</v>
      </c>
    </row>
    <row r="91" spans="1:4" ht="17.149999999999999" customHeight="1" x14ac:dyDescent="0.45">
      <c r="A91" s="3" t="s">
        <v>102</v>
      </c>
      <c r="B91" s="3">
        <v>2835</v>
      </c>
      <c r="C91" s="3">
        <v>15</v>
      </c>
      <c r="D91" s="10">
        <v>0</v>
      </c>
    </row>
    <row r="92" spans="1:4" ht="17.149999999999999" customHeight="1" x14ac:dyDescent="0.45">
      <c r="A92" s="3" t="s">
        <v>29</v>
      </c>
      <c r="B92" s="3">
        <v>10140</v>
      </c>
      <c r="C92" s="3">
        <v>36</v>
      </c>
      <c r="D92" s="10">
        <v>5</v>
      </c>
    </row>
    <row r="93" spans="1:4" ht="17.149999999999999" customHeight="1" x14ac:dyDescent="0.45">
      <c r="A93" s="3" t="s">
        <v>30</v>
      </c>
      <c r="B93" s="3">
        <v>16200</v>
      </c>
      <c r="C93" s="3">
        <v>16</v>
      </c>
      <c r="D93" s="10">
        <v>5</v>
      </c>
    </row>
    <row r="94" spans="1:4" ht="17.149999999999999" customHeight="1" x14ac:dyDescent="0.45">
      <c r="A94" s="3" t="s">
        <v>108</v>
      </c>
      <c r="B94" s="3">
        <v>513</v>
      </c>
      <c r="C94" s="3">
        <v>4</v>
      </c>
      <c r="D94" s="10">
        <v>0</v>
      </c>
    </row>
    <row r="95" spans="1:4" ht="17.149999999999999" customHeight="1" x14ac:dyDescent="0.45">
      <c r="A95" s="3" t="s">
        <v>107</v>
      </c>
      <c r="B95" s="3">
        <v>513</v>
      </c>
      <c r="C95" s="3">
        <v>39</v>
      </c>
      <c r="D95" s="10">
        <v>0</v>
      </c>
    </row>
    <row r="96" spans="1:4" ht="17.149999999999999" customHeight="1" x14ac:dyDescent="0.45">
      <c r="A96" s="3" t="s">
        <v>109</v>
      </c>
      <c r="B96" s="3">
        <v>513</v>
      </c>
      <c r="C96" s="3">
        <v>24</v>
      </c>
      <c r="D96" s="10">
        <v>0</v>
      </c>
    </row>
    <row r="97" spans="1:4" ht="17.149999999999999" customHeight="1" x14ac:dyDescent="0.45">
      <c r="A97" s="3" t="s">
        <v>93</v>
      </c>
      <c r="B97" s="3">
        <v>600</v>
      </c>
      <c r="C97" s="3">
        <v>1000</v>
      </c>
      <c r="D97" s="10">
        <v>100</v>
      </c>
    </row>
    <row r="98" spans="1:4" ht="17.149999999999999" customHeight="1" x14ac:dyDescent="0.45">
      <c r="A98" s="3" t="s">
        <v>33</v>
      </c>
      <c r="B98" s="3">
        <v>4193</v>
      </c>
      <c r="C98" s="3">
        <v>47</v>
      </c>
      <c r="D98" s="10">
        <v>0</v>
      </c>
    </row>
    <row r="99" spans="1:4" ht="17.149999999999999" customHeight="1" x14ac:dyDescent="0.45">
      <c r="A99" s="3" t="s">
        <v>103</v>
      </c>
      <c r="B99" s="3">
        <v>2893</v>
      </c>
      <c r="C99" s="3">
        <v>257</v>
      </c>
      <c r="D99" s="10">
        <v>0</v>
      </c>
    </row>
  </sheetData>
  <sortState xmlns:xlrd2="http://schemas.microsoft.com/office/spreadsheetml/2017/richdata2" ref="A2:E99">
    <sortCondition ref="A99"/>
  </sortState>
  <phoneticPr fontId="1" type="noConversion"/>
  <conditionalFormatting sqref="C1:C1048576">
    <cfRule type="expression" dxfId="1" priority="1">
      <formula>C1&lt;D1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"/>
  <sheetViews>
    <sheetView workbookViewId="0">
      <pane ySplit="1" topLeftCell="A2" activePane="bottomLeft" state="frozen"/>
      <selection pane="bottomLeft" activeCell="G18" sqref="G18"/>
    </sheetView>
  </sheetViews>
  <sheetFormatPr defaultColWidth="8.58203125" defaultRowHeight="17.149999999999999" customHeight="1" x14ac:dyDescent="0.45"/>
  <cols>
    <col min="1" max="1" width="14" style="3" customWidth="1"/>
    <col min="2" max="2" width="20.08203125" style="3" customWidth="1"/>
    <col min="3" max="3" width="10.08203125" style="3" customWidth="1"/>
    <col min="4" max="4" width="30.58203125" style="3" customWidth="1"/>
    <col min="5" max="16384" width="8.58203125" style="3"/>
  </cols>
  <sheetData>
    <row r="1" spans="1:4" ht="17.149999999999999" customHeight="1" x14ac:dyDescent="0.45">
      <c r="A1" s="8" t="s">
        <v>34</v>
      </c>
      <c r="B1" s="8" t="s">
        <v>3</v>
      </c>
      <c r="C1" s="8" t="s">
        <v>36</v>
      </c>
      <c r="D1" s="8" t="s">
        <v>12</v>
      </c>
    </row>
  </sheetData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제품정보!$A:$A</xm:f>
          </x14:formula1>
          <xm:sqref>B1:B1048576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26"/>
  <sheetViews>
    <sheetView workbookViewId="0">
      <pane ySplit="1" topLeftCell="A2" activePane="bottomLeft" state="frozen"/>
      <selection pane="bottomLeft" activeCell="A13" sqref="A13"/>
    </sheetView>
  </sheetViews>
  <sheetFormatPr defaultColWidth="8.58203125" defaultRowHeight="17.149999999999999" customHeight="1" x14ac:dyDescent="0.45"/>
  <cols>
    <col min="1" max="1" width="10.08203125" style="3" bestFit="1" customWidth="1"/>
    <col min="2" max="2" width="10.33203125" style="3" bestFit="1" customWidth="1"/>
    <col min="3" max="3" width="83.58203125" style="3" bestFit="1" customWidth="1"/>
    <col min="4" max="5" width="8.58203125" style="3"/>
    <col min="6" max="6" width="10.08203125" style="3" bestFit="1" customWidth="1"/>
    <col min="7" max="7" width="11.83203125" style="3" bestFit="1" customWidth="1"/>
    <col min="8" max="8" width="8.58203125" style="3"/>
    <col min="9" max="9" width="10.08203125" style="3" bestFit="1" customWidth="1"/>
    <col min="10" max="10" width="11.83203125" style="3" bestFit="1" customWidth="1"/>
    <col min="11" max="16384" width="8.58203125" style="3"/>
  </cols>
  <sheetData>
    <row r="1" spans="1:10" ht="17.149999999999999" customHeight="1" x14ac:dyDescent="0.45">
      <c r="A1" s="6" t="s">
        <v>34</v>
      </c>
      <c r="B1" s="5" t="s">
        <v>129</v>
      </c>
      <c r="C1" s="5" t="s">
        <v>3</v>
      </c>
      <c r="D1" s="5" t="s">
        <v>130</v>
      </c>
      <c r="E1" s="5" t="s">
        <v>131</v>
      </c>
      <c r="F1" s="5" t="s">
        <v>132</v>
      </c>
      <c r="G1" s="5" t="s">
        <v>133</v>
      </c>
      <c r="H1" s="5" t="s">
        <v>134</v>
      </c>
      <c r="I1" s="5" t="s">
        <v>135</v>
      </c>
      <c r="J1" s="5" t="s">
        <v>136</v>
      </c>
    </row>
    <row r="2" spans="1:10" ht="17.149999999999999" customHeight="1" x14ac:dyDescent="0.45">
      <c r="A2" s="7">
        <v>45578</v>
      </c>
      <c r="B2" s="3">
        <v>87794638595</v>
      </c>
      <c r="C2" s="3" t="s">
        <v>124</v>
      </c>
      <c r="D2" s="3">
        <v>1400</v>
      </c>
      <c r="E2" s="3">
        <v>1</v>
      </c>
      <c r="F2" s="3">
        <v>1400</v>
      </c>
      <c r="G2" s="3">
        <v>1</v>
      </c>
      <c r="H2" s="3">
        <v>0</v>
      </c>
      <c r="I2" s="3">
        <v>0</v>
      </c>
      <c r="J2" s="3">
        <v>0</v>
      </c>
    </row>
    <row r="3" spans="1:10" ht="17.149999999999999" customHeight="1" x14ac:dyDescent="0.45">
      <c r="A3" s="7"/>
      <c r="B3" s="3">
        <v>90876431646</v>
      </c>
      <c r="C3" s="3" t="s">
        <v>125</v>
      </c>
      <c r="D3" s="3">
        <v>122000</v>
      </c>
      <c r="E3" s="3">
        <v>4</v>
      </c>
      <c r="F3" s="3">
        <v>122000</v>
      </c>
      <c r="G3" s="3">
        <v>4</v>
      </c>
      <c r="H3" s="3">
        <v>0</v>
      </c>
      <c r="I3" s="3">
        <v>0</v>
      </c>
      <c r="J3" s="3">
        <v>0</v>
      </c>
    </row>
    <row r="4" spans="1:10" ht="17.149999999999999" customHeight="1" x14ac:dyDescent="0.45">
      <c r="A4" s="7"/>
      <c r="B4" s="3">
        <v>90934374856</v>
      </c>
      <c r="C4" s="3" t="s">
        <v>126</v>
      </c>
      <c r="D4" s="3">
        <v>8600</v>
      </c>
      <c r="E4" s="3">
        <v>1</v>
      </c>
      <c r="F4" s="3">
        <v>8600</v>
      </c>
      <c r="G4" s="3">
        <v>1</v>
      </c>
      <c r="H4" s="3">
        <v>0</v>
      </c>
      <c r="I4" s="3">
        <v>0</v>
      </c>
      <c r="J4" s="3">
        <v>0</v>
      </c>
    </row>
    <row r="5" spans="1:10" ht="17.149999999999999" customHeight="1" x14ac:dyDescent="0.45">
      <c r="A5" s="7"/>
      <c r="B5" s="3">
        <v>90934412711</v>
      </c>
      <c r="C5" s="3" t="s">
        <v>127</v>
      </c>
      <c r="D5" s="3">
        <v>55000</v>
      </c>
      <c r="E5" s="3">
        <v>5</v>
      </c>
      <c r="F5" s="3">
        <v>55000</v>
      </c>
      <c r="G5" s="3">
        <v>5</v>
      </c>
      <c r="H5" s="3">
        <v>0</v>
      </c>
      <c r="I5" s="3">
        <v>0</v>
      </c>
      <c r="J5" s="3">
        <v>0</v>
      </c>
    </row>
    <row r="6" spans="1:10" ht="17.149999999999999" customHeight="1" x14ac:dyDescent="0.45">
      <c r="A6" s="7"/>
      <c r="B6" s="3">
        <v>91014799721</v>
      </c>
      <c r="C6" s="3" t="s">
        <v>128</v>
      </c>
      <c r="D6" s="3">
        <v>13300</v>
      </c>
      <c r="E6" s="3">
        <v>1</v>
      </c>
      <c r="F6" s="3">
        <v>13300</v>
      </c>
      <c r="G6" s="3">
        <v>1</v>
      </c>
      <c r="H6" s="3">
        <v>0</v>
      </c>
      <c r="I6" s="3">
        <v>0</v>
      </c>
      <c r="J6" s="3">
        <v>0</v>
      </c>
    </row>
    <row r="7" spans="1:10" ht="17.149999999999999" customHeight="1" x14ac:dyDescent="0.45">
      <c r="A7" s="7"/>
      <c r="B7" s="3">
        <v>91264469275</v>
      </c>
      <c r="C7" s="3" t="s">
        <v>127</v>
      </c>
      <c r="D7" s="3">
        <v>9350</v>
      </c>
      <c r="E7" s="3">
        <v>1</v>
      </c>
      <c r="F7" s="3">
        <v>9350</v>
      </c>
      <c r="G7" s="3">
        <v>1</v>
      </c>
      <c r="H7" s="3">
        <v>0</v>
      </c>
      <c r="I7" s="3">
        <v>0</v>
      </c>
      <c r="J7" s="3">
        <v>0</v>
      </c>
    </row>
    <row r="8" spans="1:10" ht="17.149999999999999" customHeight="1" x14ac:dyDescent="0.45">
      <c r="A8" s="7"/>
      <c r="B8" s="3" t="s">
        <v>137</v>
      </c>
      <c r="D8" s="3">
        <v>209650</v>
      </c>
      <c r="E8" s="3">
        <v>13</v>
      </c>
      <c r="F8" s="3">
        <v>209650</v>
      </c>
      <c r="G8" s="3">
        <v>13</v>
      </c>
      <c r="H8" s="3">
        <v>0</v>
      </c>
      <c r="I8" s="3">
        <v>0</v>
      </c>
      <c r="J8" s="3">
        <v>0</v>
      </c>
    </row>
    <row r="9" spans="1:10" ht="17.149999999999999" customHeight="1" x14ac:dyDescent="0.45">
      <c r="A9" s="7">
        <v>45579</v>
      </c>
      <c r="B9" s="3">
        <v>90934374847</v>
      </c>
      <c r="C9" s="3" t="s">
        <v>165</v>
      </c>
      <c r="D9" s="3">
        <v>11800</v>
      </c>
      <c r="E9" s="3">
        <v>1</v>
      </c>
      <c r="F9" s="3">
        <v>11800</v>
      </c>
      <c r="G9" s="3">
        <v>1</v>
      </c>
      <c r="H9" s="3">
        <v>0</v>
      </c>
      <c r="I9" s="3">
        <v>0</v>
      </c>
      <c r="J9" s="3">
        <v>0</v>
      </c>
    </row>
    <row r="10" spans="1:10" ht="17.149999999999999" customHeight="1" x14ac:dyDescent="0.45">
      <c r="B10" s="3">
        <v>90934412711</v>
      </c>
      <c r="C10" s="3" t="s">
        <v>127</v>
      </c>
      <c r="D10" s="3">
        <v>55000</v>
      </c>
      <c r="E10" s="3">
        <v>5</v>
      </c>
      <c r="F10" s="3">
        <v>55000</v>
      </c>
      <c r="G10" s="3">
        <v>5</v>
      </c>
      <c r="H10" s="3">
        <v>0</v>
      </c>
      <c r="I10" s="3">
        <v>0</v>
      </c>
      <c r="J10" s="3">
        <v>0</v>
      </c>
    </row>
    <row r="11" spans="1:10" ht="17.149999999999999" customHeight="1" x14ac:dyDescent="0.45">
      <c r="B11" s="3">
        <v>91014799721</v>
      </c>
      <c r="C11" s="3" t="s">
        <v>128</v>
      </c>
      <c r="D11" s="3">
        <v>26600</v>
      </c>
      <c r="E11" s="3">
        <v>2</v>
      </c>
      <c r="F11" s="3">
        <v>26600</v>
      </c>
      <c r="G11" s="3">
        <v>2</v>
      </c>
      <c r="H11" s="3">
        <v>0</v>
      </c>
      <c r="I11" s="3">
        <v>0</v>
      </c>
      <c r="J11" s="3">
        <v>0</v>
      </c>
    </row>
    <row r="12" spans="1:10" ht="17.149999999999999" customHeight="1" x14ac:dyDescent="0.45">
      <c r="B12" s="3" t="s">
        <v>137</v>
      </c>
      <c r="D12" s="3">
        <v>93400</v>
      </c>
      <c r="E12" s="3">
        <v>8</v>
      </c>
      <c r="F12" s="3">
        <v>93400</v>
      </c>
      <c r="G12" s="3">
        <v>8</v>
      </c>
      <c r="H12" s="3">
        <v>0</v>
      </c>
      <c r="I12" s="3">
        <v>0</v>
      </c>
      <c r="J12" s="3">
        <v>0</v>
      </c>
    </row>
    <row r="13" spans="1:10" ht="17.149999999999999" customHeight="1" x14ac:dyDescent="0.45">
      <c r="A13" s="7">
        <v>45580</v>
      </c>
      <c r="B13" s="3">
        <v>90876363487</v>
      </c>
      <c r="C13" s="3" t="s">
        <v>176</v>
      </c>
      <c r="D13" s="3">
        <v>25500</v>
      </c>
      <c r="E13" s="3">
        <v>1</v>
      </c>
      <c r="F13" s="3">
        <v>25500</v>
      </c>
      <c r="G13" s="3">
        <v>1</v>
      </c>
      <c r="H13" s="3">
        <v>0</v>
      </c>
      <c r="I13" s="3">
        <v>0</v>
      </c>
      <c r="J13" s="3">
        <v>0</v>
      </c>
    </row>
    <row r="14" spans="1:10" ht="17.149999999999999" customHeight="1" x14ac:dyDescent="0.45">
      <c r="B14" s="3">
        <v>90876431646</v>
      </c>
      <c r="C14" s="3" t="s">
        <v>125</v>
      </c>
      <c r="D14" s="3">
        <v>30500</v>
      </c>
      <c r="E14" s="3">
        <v>1</v>
      </c>
      <c r="F14" s="3">
        <v>30500</v>
      </c>
      <c r="G14" s="3">
        <v>1</v>
      </c>
      <c r="H14" s="3">
        <v>0</v>
      </c>
      <c r="I14" s="3">
        <v>0</v>
      </c>
      <c r="J14" s="3">
        <v>0</v>
      </c>
    </row>
    <row r="15" spans="1:10" ht="17.149999999999999" customHeight="1" x14ac:dyDescent="0.45">
      <c r="B15" s="3">
        <v>90934374847</v>
      </c>
      <c r="C15" s="3" t="s">
        <v>165</v>
      </c>
      <c r="D15" s="3">
        <v>11800</v>
      </c>
      <c r="E15" s="3">
        <v>1</v>
      </c>
      <c r="F15" s="3">
        <v>11800</v>
      </c>
      <c r="G15" s="3">
        <v>1</v>
      </c>
      <c r="H15" s="3">
        <v>0</v>
      </c>
      <c r="I15" s="3">
        <v>0</v>
      </c>
      <c r="J15" s="3">
        <v>0</v>
      </c>
    </row>
    <row r="16" spans="1:10" ht="17.149999999999999" customHeight="1" x14ac:dyDescent="0.45">
      <c r="B16" s="3">
        <v>90934374856</v>
      </c>
      <c r="C16" s="3" t="s">
        <v>126</v>
      </c>
      <c r="D16" s="3">
        <v>8600</v>
      </c>
      <c r="E16" s="3">
        <v>1</v>
      </c>
      <c r="F16" s="3">
        <v>8600</v>
      </c>
      <c r="G16" s="3">
        <v>1</v>
      </c>
      <c r="H16" s="3">
        <v>0</v>
      </c>
      <c r="I16" s="3">
        <v>0</v>
      </c>
      <c r="J16" s="3">
        <v>0</v>
      </c>
    </row>
    <row r="17" spans="1:10" ht="17.149999999999999" customHeight="1" x14ac:dyDescent="0.45">
      <c r="B17" s="3">
        <v>90934412711</v>
      </c>
      <c r="C17" s="3" t="s">
        <v>127</v>
      </c>
      <c r="D17" s="3">
        <v>33000</v>
      </c>
      <c r="E17" s="3">
        <v>3</v>
      </c>
      <c r="F17" s="3">
        <v>33000</v>
      </c>
      <c r="G17" s="3">
        <v>3</v>
      </c>
      <c r="H17" s="3">
        <v>0</v>
      </c>
      <c r="I17" s="3">
        <v>0</v>
      </c>
      <c r="J17" s="3">
        <v>0</v>
      </c>
    </row>
    <row r="18" spans="1:10" ht="17.149999999999999" customHeight="1" x14ac:dyDescent="0.45">
      <c r="B18" s="3">
        <v>91193043108</v>
      </c>
      <c r="C18" s="3" t="s">
        <v>177</v>
      </c>
      <c r="D18" s="3">
        <v>20700</v>
      </c>
      <c r="E18" s="3">
        <v>1</v>
      </c>
      <c r="F18" s="3">
        <v>20700</v>
      </c>
      <c r="G18" s="3">
        <v>1</v>
      </c>
      <c r="H18" s="3">
        <v>0</v>
      </c>
      <c r="I18" s="3">
        <v>0</v>
      </c>
      <c r="J18" s="3">
        <v>0</v>
      </c>
    </row>
    <row r="19" spans="1:10" ht="17.149999999999999" customHeight="1" x14ac:dyDescent="0.45">
      <c r="B19" s="3" t="s">
        <v>137</v>
      </c>
      <c r="D19" s="3">
        <v>130100</v>
      </c>
      <c r="E19" s="3">
        <v>8</v>
      </c>
      <c r="F19" s="3">
        <v>130100</v>
      </c>
      <c r="G19" s="3">
        <v>8</v>
      </c>
      <c r="H19" s="3">
        <v>0</v>
      </c>
      <c r="I19" s="3">
        <v>0</v>
      </c>
      <c r="J19" s="3">
        <v>0</v>
      </c>
    </row>
    <row r="20" spans="1:10" ht="17.149999999999999" customHeight="1" x14ac:dyDescent="0.45">
      <c r="A20" s="7">
        <v>45581</v>
      </c>
      <c r="B20" s="3">
        <v>90876363487</v>
      </c>
      <c r="C20" s="3" t="s">
        <v>176</v>
      </c>
      <c r="D20" s="3">
        <v>51000</v>
      </c>
      <c r="E20" s="3">
        <v>2</v>
      </c>
      <c r="F20" s="3">
        <v>51000</v>
      </c>
      <c r="G20" s="3">
        <v>2</v>
      </c>
      <c r="H20" s="3">
        <v>0</v>
      </c>
      <c r="I20" s="3">
        <v>0</v>
      </c>
      <c r="J20" s="3">
        <v>0</v>
      </c>
    </row>
    <row r="21" spans="1:10" ht="17.149999999999999" customHeight="1" x14ac:dyDescent="0.45">
      <c r="B21" s="3">
        <v>90876431646</v>
      </c>
      <c r="C21" s="3" t="s">
        <v>125</v>
      </c>
      <c r="D21" s="3">
        <v>183000</v>
      </c>
      <c r="E21" s="3">
        <v>6</v>
      </c>
      <c r="F21" s="3">
        <v>183000</v>
      </c>
      <c r="G21" s="3">
        <v>6</v>
      </c>
      <c r="H21" s="3">
        <v>0</v>
      </c>
      <c r="I21" s="3">
        <v>0</v>
      </c>
      <c r="J21" s="3">
        <v>0</v>
      </c>
    </row>
    <row r="22" spans="1:10" ht="17.149999999999999" customHeight="1" x14ac:dyDescent="0.45">
      <c r="B22" s="3">
        <v>90934374847</v>
      </c>
      <c r="C22" s="3" t="s">
        <v>165</v>
      </c>
      <c r="D22" s="3">
        <v>23600</v>
      </c>
      <c r="E22" s="3">
        <v>2</v>
      </c>
      <c r="F22" s="3">
        <v>23600</v>
      </c>
      <c r="G22" s="3">
        <v>2</v>
      </c>
      <c r="H22" s="3">
        <v>0</v>
      </c>
      <c r="I22" s="3">
        <v>0</v>
      </c>
      <c r="J22" s="3">
        <v>0</v>
      </c>
    </row>
    <row r="23" spans="1:10" ht="17.149999999999999" customHeight="1" x14ac:dyDescent="0.45">
      <c r="B23" s="3">
        <v>90934374856</v>
      </c>
      <c r="C23" s="3" t="s">
        <v>126</v>
      </c>
      <c r="D23" s="3">
        <v>8600</v>
      </c>
      <c r="E23" s="3">
        <v>1</v>
      </c>
      <c r="F23" s="3">
        <v>8600</v>
      </c>
      <c r="G23" s="3">
        <v>1</v>
      </c>
      <c r="H23" s="3">
        <v>0</v>
      </c>
      <c r="I23" s="3">
        <v>0</v>
      </c>
      <c r="J23" s="3">
        <v>0</v>
      </c>
    </row>
    <row r="24" spans="1:10" ht="17.149999999999999" customHeight="1" x14ac:dyDescent="0.45">
      <c r="B24" s="3">
        <v>90934412711</v>
      </c>
      <c r="C24" s="3" t="s">
        <v>127</v>
      </c>
      <c r="D24" s="3">
        <v>55000</v>
      </c>
      <c r="E24" s="3">
        <v>5</v>
      </c>
      <c r="F24" s="3">
        <v>55000</v>
      </c>
      <c r="G24" s="3">
        <v>5</v>
      </c>
      <c r="H24" s="3">
        <v>0</v>
      </c>
      <c r="I24" s="3">
        <v>0</v>
      </c>
      <c r="J24" s="3">
        <v>0</v>
      </c>
    </row>
    <row r="25" spans="1:10" ht="17.149999999999999" customHeight="1" x14ac:dyDescent="0.45">
      <c r="B25" s="3">
        <v>91193043108</v>
      </c>
      <c r="C25" s="3" t="s">
        <v>177</v>
      </c>
      <c r="D25" s="3">
        <v>20700</v>
      </c>
      <c r="E25" s="3">
        <v>1</v>
      </c>
      <c r="F25" s="3">
        <v>20700</v>
      </c>
      <c r="G25" s="3">
        <v>1</v>
      </c>
      <c r="H25" s="3">
        <v>0</v>
      </c>
      <c r="I25" s="3">
        <v>0</v>
      </c>
      <c r="J25" s="3">
        <v>0</v>
      </c>
    </row>
    <row r="26" spans="1:10" ht="17.149999999999999" customHeight="1" x14ac:dyDescent="0.45">
      <c r="B26" s="3" t="s">
        <v>137</v>
      </c>
      <c r="D26" s="3">
        <v>341900</v>
      </c>
      <c r="E26" s="3">
        <v>17</v>
      </c>
      <c r="F26" s="3">
        <v>341900</v>
      </c>
      <c r="G26" s="3">
        <v>17</v>
      </c>
      <c r="H26" s="3">
        <v>0</v>
      </c>
      <c r="I26" s="3">
        <v>0</v>
      </c>
      <c r="J26" s="3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38"/>
  <sheetViews>
    <sheetView tabSelected="1" workbookViewId="0">
      <pane ySplit="1" topLeftCell="A2" activePane="bottomLeft" state="frozen"/>
      <selection pane="bottomLeft" activeCell="L38" sqref="L38"/>
    </sheetView>
  </sheetViews>
  <sheetFormatPr defaultColWidth="8.58203125" defaultRowHeight="17.149999999999999" customHeight="1" x14ac:dyDescent="0.45"/>
  <cols>
    <col min="1" max="1" width="13.75" style="3" bestFit="1" customWidth="1"/>
    <col min="2" max="2" width="22" style="3" bestFit="1" customWidth="1"/>
    <col min="3" max="3" width="8.58203125" style="10"/>
    <col min="4" max="9" width="8.58203125" style="13"/>
    <col min="10" max="10" width="14" style="3" customWidth="1"/>
    <col min="11" max="11" width="23.5" style="3" customWidth="1"/>
    <col min="12" max="12" width="54.83203125" style="3" customWidth="1"/>
    <col min="13" max="16384" width="8.58203125" style="3"/>
  </cols>
  <sheetData>
    <row r="1" spans="1:12" s="2" customFormat="1" ht="17.149999999999999" customHeight="1" x14ac:dyDescent="0.45">
      <c r="A1" s="1" t="s">
        <v>34</v>
      </c>
      <c r="B1" s="1" t="s">
        <v>3</v>
      </c>
      <c r="C1" s="1" t="s">
        <v>36</v>
      </c>
      <c r="D1" s="12" t="s">
        <v>4</v>
      </c>
      <c r="E1" s="12" t="s">
        <v>6</v>
      </c>
      <c r="F1" s="12" t="s">
        <v>9</v>
      </c>
      <c r="G1" s="12" t="s">
        <v>5</v>
      </c>
      <c r="H1" s="12" t="s">
        <v>10</v>
      </c>
      <c r="I1" s="12" t="s">
        <v>7</v>
      </c>
      <c r="J1" s="1" t="s">
        <v>11</v>
      </c>
      <c r="K1" s="1" t="s">
        <v>8</v>
      </c>
      <c r="L1" s="1" t="s">
        <v>12</v>
      </c>
    </row>
    <row r="2" spans="1:12" ht="17.149999999999999" customHeight="1" x14ac:dyDescent="0.45">
      <c r="A2" s="3" t="s">
        <v>35</v>
      </c>
      <c r="B2" s="3" t="s">
        <v>13</v>
      </c>
      <c r="C2" s="10">
        <v>9</v>
      </c>
      <c r="D2" s="13">
        <f>IFERROR(VLOOKUP(B2,제품정보!$A:$B,2,0)*C2,"")</f>
        <v>7227</v>
      </c>
      <c r="E2" s="13">
        <v>130</v>
      </c>
      <c r="F2" s="13">
        <v>2750</v>
      </c>
      <c r="G2" s="13">
        <v>1537</v>
      </c>
      <c r="H2" s="13">
        <v>14950</v>
      </c>
      <c r="I2" s="13">
        <f t="shared" ref="I2:I3" si="0">IFERROR(H2-D2-E2-F2-G2,"")</f>
        <v>3306</v>
      </c>
      <c r="J2" s="3" t="s">
        <v>37</v>
      </c>
      <c r="K2" s="3" t="s">
        <v>38</v>
      </c>
    </row>
    <row r="3" spans="1:12" ht="17.149999999999999" customHeight="1" x14ac:dyDescent="0.45">
      <c r="B3" s="3" t="s">
        <v>14</v>
      </c>
      <c r="C3" s="10">
        <v>1</v>
      </c>
      <c r="D3" s="13">
        <f>IFERROR(VLOOKUP(B3,제품정보!$A:$B,2,0)*C3,"")</f>
        <v>803</v>
      </c>
      <c r="E3" s="13">
        <v>130</v>
      </c>
      <c r="F3" s="13">
        <v>2750</v>
      </c>
      <c r="G3" s="13">
        <v>253</v>
      </c>
      <c r="H3" s="13">
        <v>4150</v>
      </c>
      <c r="I3" s="13">
        <f t="shared" si="0"/>
        <v>214</v>
      </c>
      <c r="J3" s="3" t="s">
        <v>37</v>
      </c>
      <c r="K3" s="3" t="s">
        <v>39</v>
      </c>
    </row>
    <row r="4" spans="1:12" ht="17.149999999999999" customHeight="1" x14ac:dyDescent="0.45">
      <c r="B4" s="3" t="s">
        <v>23</v>
      </c>
      <c r="C4" s="10">
        <v>2</v>
      </c>
      <c r="D4" s="13">
        <v>7860</v>
      </c>
      <c r="F4" s="13">
        <v>2750</v>
      </c>
      <c r="G4" s="13">
        <v>976</v>
      </c>
      <c r="H4" s="13">
        <v>12900</v>
      </c>
      <c r="I4" s="13">
        <v>1314</v>
      </c>
      <c r="J4" s="3" t="s">
        <v>37</v>
      </c>
      <c r="K4" s="3" t="s">
        <v>40</v>
      </c>
    </row>
    <row r="5" spans="1:12" ht="17.149999999999999" customHeight="1" x14ac:dyDescent="0.45">
      <c r="B5" s="3" t="s">
        <v>25</v>
      </c>
      <c r="C5" s="10">
        <v>1</v>
      </c>
      <c r="D5" s="13">
        <v>3129</v>
      </c>
      <c r="E5" s="13">
        <v>130</v>
      </c>
      <c r="F5" s="13">
        <v>2750</v>
      </c>
      <c r="G5" s="13">
        <v>735</v>
      </c>
      <c r="H5" s="13">
        <v>10100</v>
      </c>
      <c r="I5" s="13">
        <v>3356</v>
      </c>
      <c r="J5" s="3" t="s">
        <v>37</v>
      </c>
      <c r="K5" s="3" t="s">
        <v>41</v>
      </c>
    </row>
    <row r="6" spans="1:12" ht="17.149999999999999" customHeight="1" x14ac:dyDescent="0.45">
      <c r="B6" s="3" t="s">
        <v>0</v>
      </c>
      <c r="C6" s="10">
        <v>4</v>
      </c>
      <c r="D6" s="13">
        <v>59364</v>
      </c>
      <c r="F6" s="13">
        <v>2750</v>
      </c>
      <c r="G6" s="13">
        <v>19356</v>
      </c>
      <c r="H6" s="13">
        <v>118500</v>
      </c>
      <c r="I6" s="13">
        <v>37030</v>
      </c>
      <c r="J6" s="3" t="s">
        <v>42</v>
      </c>
      <c r="K6" s="3" t="s">
        <v>43</v>
      </c>
    </row>
    <row r="7" spans="1:12" ht="17.149999999999999" customHeight="1" x14ac:dyDescent="0.25">
      <c r="A7" s="3" t="s">
        <v>138</v>
      </c>
      <c r="B7" s="9" t="s">
        <v>139</v>
      </c>
      <c r="C7" s="11">
        <v>1</v>
      </c>
      <c r="D7" s="14">
        <f>IFERROR(VLOOKUP(B7,제품정보!$A:$B,2,0)*C7,"")</f>
        <v>3930</v>
      </c>
      <c r="E7" s="14"/>
      <c r="F7" s="14">
        <v>2750</v>
      </c>
      <c r="G7" s="14">
        <v>441</v>
      </c>
      <c r="H7" s="14">
        <v>7700</v>
      </c>
      <c r="I7" s="14">
        <f t="shared" ref="I7:I14" si="1">IFERROR(H7-D7-E7-F7-G7,"")</f>
        <v>579</v>
      </c>
      <c r="J7" s="9" t="s">
        <v>140</v>
      </c>
      <c r="K7" s="15" t="s">
        <v>141</v>
      </c>
    </row>
    <row r="8" spans="1:12" ht="17.149999999999999" customHeight="1" x14ac:dyDescent="0.25">
      <c r="B8" s="9" t="s">
        <v>14</v>
      </c>
      <c r="C8" s="11">
        <v>1</v>
      </c>
      <c r="D8" s="14">
        <f>IFERROR(VLOOKUP(B8,제품정보!$A:$B,2,0)*C8,"")</f>
        <v>803</v>
      </c>
      <c r="E8" s="14">
        <v>130</v>
      </c>
      <c r="F8" s="14">
        <v>2750</v>
      </c>
      <c r="G8" s="14">
        <v>253</v>
      </c>
      <c r="H8" s="14">
        <v>4150</v>
      </c>
      <c r="I8" s="14">
        <f t="shared" si="1"/>
        <v>214</v>
      </c>
      <c r="J8" s="9" t="s">
        <v>37</v>
      </c>
      <c r="K8" s="15" t="s">
        <v>142</v>
      </c>
    </row>
    <row r="9" spans="1:12" ht="17.149999999999999" customHeight="1" x14ac:dyDescent="0.25">
      <c r="B9" s="9" t="s">
        <v>14</v>
      </c>
      <c r="C9" s="11">
        <v>1</v>
      </c>
      <c r="D9" s="14">
        <f>IFERROR(VLOOKUP(B9,제품정보!$A:$B,2,0)*C9,"")</f>
        <v>803</v>
      </c>
      <c r="E9" s="14">
        <v>130</v>
      </c>
      <c r="F9" s="14">
        <v>2750</v>
      </c>
      <c r="G9" s="14">
        <v>253</v>
      </c>
      <c r="H9" s="14">
        <v>4150</v>
      </c>
      <c r="I9" s="14">
        <f t="shared" si="1"/>
        <v>214</v>
      </c>
      <c r="J9" s="9" t="s">
        <v>37</v>
      </c>
      <c r="K9" s="15" t="s">
        <v>143</v>
      </c>
    </row>
    <row r="10" spans="1:12" ht="17.149999999999999" customHeight="1" x14ac:dyDescent="0.25">
      <c r="B10" s="9" t="s">
        <v>15</v>
      </c>
      <c r="C10" s="11">
        <v>1</v>
      </c>
      <c r="D10" s="14">
        <f>IFERROR(VLOOKUP(B10,제품정보!$A:$B,2,0)*C10,"")</f>
        <v>696</v>
      </c>
      <c r="E10" s="14">
        <v>130</v>
      </c>
      <c r="F10" s="14">
        <v>2750</v>
      </c>
      <c r="G10" s="14">
        <v>282</v>
      </c>
      <c r="H10" s="14">
        <v>4400</v>
      </c>
      <c r="I10" s="14">
        <f t="shared" si="1"/>
        <v>542</v>
      </c>
      <c r="J10" s="9" t="s">
        <v>37</v>
      </c>
      <c r="K10" s="15" t="s">
        <v>144</v>
      </c>
    </row>
    <row r="11" spans="1:12" ht="17.149999999999999" customHeight="1" x14ac:dyDescent="0.25">
      <c r="B11" s="9" t="s">
        <v>14</v>
      </c>
      <c r="C11" s="11">
        <v>1</v>
      </c>
      <c r="D11" s="14">
        <f>IFERROR(VLOOKUP(B11,제품정보!$A:$B,2,0)*C11,"")</f>
        <v>803</v>
      </c>
      <c r="E11" s="14">
        <v>130</v>
      </c>
      <c r="F11" s="14">
        <v>2750</v>
      </c>
      <c r="G11" s="14">
        <v>253</v>
      </c>
      <c r="H11" s="14">
        <v>4150</v>
      </c>
      <c r="I11" s="14">
        <f t="shared" si="1"/>
        <v>214</v>
      </c>
      <c r="J11" s="9" t="s">
        <v>37</v>
      </c>
      <c r="K11" s="15" t="s">
        <v>145</v>
      </c>
    </row>
    <row r="12" spans="1:12" ht="17.149999999999999" customHeight="1" x14ac:dyDescent="0.25">
      <c r="B12" s="9" t="s">
        <v>60</v>
      </c>
      <c r="C12" s="11">
        <v>1</v>
      </c>
      <c r="D12" s="14">
        <f>IFERROR(VLOOKUP(B12,제품정보!$A:$B,2,0)*C12,"")</f>
        <v>337</v>
      </c>
      <c r="E12" s="14"/>
      <c r="F12" s="14">
        <v>2750</v>
      </c>
      <c r="G12" s="14">
        <v>258</v>
      </c>
      <c r="H12" s="14">
        <v>4200</v>
      </c>
      <c r="I12" s="14">
        <f t="shared" si="1"/>
        <v>855</v>
      </c>
      <c r="J12" s="9" t="s">
        <v>37</v>
      </c>
      <c r="K12" s="15" t="s">
        <v>146</v>
      </c>
    </row>
    <row r="13" spans="1:12" ht="17.149999999999999" customHeight="1" x14ac:dyDescent="0.25">
      <c r="B13" s="9" t="s">
        <v>0</v>
      </c>
      <c r="C13" s="11">
        <v>1</v>
      </c>
      <c r="D13" s="14">
        <f>IFERROR(VLOOKUP(B13,제품정보!$A:$B,2,0)*C13,"")</f>
        <v>14841</v>
      </c>
      <c r="E13" s="14">
        <v>130</v>
      </c>
      <c r="F13" s="14">
        <v>2750</v>
      </c>
      <c r="G13" s="14">
        <v>3623</v>
      </c>
      <c r="H13" s="14">
        <v>30500</v>
      </c>
      <c r="I13" s="14">
        <f t="shared" si="1"/>
        <v>9156</v>
      </c>
      <c r="J13" s="9" t="s">
        <v>37</v>
      </c>
      <c r="K13" s="15" t="s">
        <v>147</v>
      </c>
    </row>
    <row r="14" spans="1:12" ht="17.149999999999999" customHeight="1" x14ac:dyDescent="0.25">
      <c r="B14" s="9" t="s">
        <v>114</v>
      </c>
      <c r="C14" s="11">
        <v>1</v>
      </c>
      <c r="D14" s="14">
        <f>IFERROR(VLOOKUP(B14,제품정보!$A:$B,2,0)*C14,"")</f>
        <v>3930</v>
      </c>
      <c r="E14" s="14"/>
      <c r="F14" s="14">
        <v>2750</v>
      </c>
      <c r="G14" s="14">
        <v>530</v>
      </c>
      <c r="H14" s="14">
        <v>7700</v>
      </c>
      <c r="I14" s="14">
        <f t="shared" si="1"/>
        <v>490</v>
      </c>
      <c r="J14" s="9" t="s">
        <v>37</v>
      </c>
      <c r="K14" s="15" t="s">
        <v>148</v>
      </c>
    </row>
    <row r="15" spans="1:12" ht="17.149999999999999" customHeight="1" x14ac:dyDescent="0.25">
      <c r="B15" s="9" t="s">
        <v>13</v>
      </c>
      <c r="C15" s="11">
        <v>1</v>
      </c>
      <c r="D15" s="14">
        <f>IFERROR(VLOOKUP(B15,제품정보!$A:$B,2,0)*C15,"")</f>
        <v>803</v>
      </c>
      <c r="E15" s="14">
        <v>130</v>
      </c>
      <c r="F15" s="14">
        <v>2750</v>
      </c>
      <c r="G15" s="14">
        <v>253</v>
      </c>
      <c r="H15" s="14">
        <v>4150</v>
      </c>
      <c r="I15" s="14">
        <f t="shared" ref="I15:I21" si="2">IFERROR(H15-D15-E15-F15-G15,"")</f>
        <v>214</v>
      </c>
      <c r="J15" s="9" t="s">
        <v>149</v>
      </c>
      <c r="K15" s="15" t="s">
        <v>152</v>
      </c>
    </row>
    <row r="16" spans="1:12" ht="17.149999999999999" customHeight="1" x14ac:dyDescent="0.25">
      <c r="B16" s="9" t="s">
        <v>150</v>
      </c>
      <c r="C16" s="11">
        <v>30</v>
      </c>
      <c r="D16" s="14">
        <f>IFERROR(VLOOKUP(B16,제품정보!$A:$B,2,0)*C16,"")</f>
        <v>5280</v>
      </c>
      <c r="E16" s="14"/>
      <c r="F16" s="14">
        <v>2750</v>
      </c>
      <c r="G16" s="14">
        <v>951</v>
      </c>
      <c r="H16" s="14">
        <v>16500</v>
      </c>
      <c r="I16" s="14">
        <f t="shared" si="2"/>
        <v>7519</v>
      </c>
      <c r="J16" s="9" t="s">
        <v>151</v>
      </c>
      <c r="K16" s="15" t="s">
        <v>153</v>
      </c>
    </row>
    <row r="17" spans="1:12" ht="17.149999999999999" customHeight="1" x14ac:dyDescent="0.25">
      <c r="B17" s="9" t="s">
        <v>155</v>
      </c>
      <c r="C17" s="11">
        <v>2</v>
      </c>
      <c r="D17" s="14">
        <f>IFERROR(VLOOKUP(B17,제품정보!$A:$B,2,0)*C17,"")</f>
        <v>29682</v>
      </c>
      <c r="E17" s="14">
        <v>260</v>
      </c>
      <c r="F17" s="14">
        <v>2750</v>
      </c>
      <c r="G17" s="14">
        <v>7247</v>
      </c>
      <c r="H17" s="14">
        <v>61000</v>
      </c>
      <c r="I17" s="14">
        <f t="shared" si="2"/>
        <v>21061</v>
      </c>
      <c r="J17" s="9" t="s">
        <v>156</v>
      </c>
      <c r="K17" s="15" t="s">
        <v>154</v>
      </c>
    </row>
    <row r="18" spans="1:12" ht="17.149999999999999" customHeight="1" x14ac:dyDescent="0.25">
      <c r="B18" s="9" t="s">
        <v>13</v>
      </c>
      <c r="C18" s="11">
        <v>1</v>
      </c>
      <c r="D18" s="14">
        <f>IFERROR(VLOOKUP(B18,제품정보!$A:$B,2,0)*C18,"")</f>
        <v>803</v>
      </c>
      <c r="E18" s="14">
        <v>130</v>
      </c>
      <c r="F18" s="14">
        <v>2750</v>
      </c>
      <c r="G18" s="14">
        <v>253</v>
      </c>
      <c r="H18" s="14">
        <v>4150</v>
      </c>
      <c r="I18" s="14">
        <f t="shared" si="2"/>
        <v>214</v>
      </c>
      <c r="J18" s="9" t="s">
        <v>156</v>
      </c>
      <c r="K18" s="15" t="s">
        <v>157</v>
      </c>
    </row>
    <row r="19" spans="1:12" ht="17.149999999999999" customHeight="1" x14ac:dyDescent="0.25">
      <c r="B19" s="9" t="s">
        <v>155</v>
      </c>
      <c r="C19" s="11">
        <v>1</v>
      </c>
      <c r="D19" s="14">
        <f>IFERROR(VLOOKUP(B19,제품정보!$A:$B,2,0)*C19,"")</f>
        <v>14841</v>
      </c>
      <c r="E19" s="14">
        <v>130</v>
      </c>
      <c r="F19" s="14">
        <v>2750</v>
      </c>
      <c r="G19" s="14">
        <v>3623</v>
      </c>
      <c r="H19" s="14">
        <v>30500</v>
      </c>
      <c r="I19" s="14">
        <f t="shared" si="2"/>
        <v>9156</v>
      </c>
      <c r="J19" s="9" t="s">
        <v>156</v>
      </c>
      <c r="K19" s="15" t="s">
        <v>158</v>
      </c>
    </row>
    <row r="20" spans="1:12" ht="17.149999999999999" customHeight="1" x14ac:dyDescent="0.25">
      <c r="A20" s="9" t="s">
        <v>159</v>
      </c>
      <c r="B20" s="9" t="s">
        <v>160</v>
      </c>
      <c r="C20" s="11">
        <v>2</v>
      </c>
      <c r="D20" s="14">
        <f>IFERROR(VLOOKUP(B20,제품정보!$A:$B,2,0)*C20,"")</f>
        <v>16940</v>
      </c>
      <c r="E20" s="14">
        <v>260</v>
      </c>
      <c r="F20" s="14">
        <v>2750</v>
      </c>
      <c r="G20" s="14">
        <v>5696</v>
      </c>
      <c r="H20" s="14">
        <v>42000</v>
      </c>
      <c r="I20" s="14">
        <f t="shared" si="2"/>
        <v>16354</v>
      </c>
      <c r="J20" s="9" t="s">
        <v>161</v>
      </c>
      <c r="K20" s="15" t="s">
        <v>162</v>
      </c>
    </row>
    <row r="21" spans="1:12" ht="17.149999999999999" customHeight="1" x14ac:dyDescent="0.25">
      <c r="A21" s="9"/>
      <c r="B21" s="9" t="s">
        <v>164</v>
      </c>
      <c r="C21" s="11">
        <v>1</v>
      </c>
      <c r="D21" s="14">
        <f>IFERROR(VLOOKUP(B21,제품정보!$A:$B,2,0)*C21,"")</f>
        <v>2311</v>
      </c>
      <c r="E21" s="14"/>
      <c r="F21" s="14">
        <v>2750</v>
      </c>
      <c r="G21" s="14">
        <v>662</v>
      </c>
      <c r="H21" s="14">
        <v>7600</v>
      </c>
      <c r="I21" s="14">
        <f t="shared" si="2"/>
        <v>1877</v>
      </c>
      <c r="J21" s="9" t="s">
        <v>149</v>
      </c>
      <c r="K21" s="16" t="s">
        <v>163</v>
      </c>
    </row>
    <row r="22" spans="1:12" ht="17.149999999999999" customHeight="1" x14ac:dyDescent="0.25">
      <c r="A22" s="9"/>
      <c r="B22" s="9" t="s">
        <v>167</v>
      </c>
      <c r="C22" s="11">
        <v>1</v>
      </c>
      <c r="D22" s="14">
        <f>IFERROR(VLOOKUP(B22,제품정보!$A:$B,2,0)*C22,"")</f>
        <v>3930</v>
      </c>
      <c r="E22" s="14"/>
      <c r="F22" s="14">
        <v>2750</v>
      </c>
      <c r="G22" s="14">
        <v>530</v>
      </c>
      <c r="H22" s="14">
        <v>7700</v>
      </c>
      <c r="I22" s="14">
        <f t="shared" ref="I22:I25" si="3">IFERROR(H22-D22-E22-F22-G22,"")</f>
        <v>490</v>
      </c>
      <c r="J22" s="9" t="s">
        <v>37</v>
      </c>
      <c r="K22" s="16" t="s">
        <v>166</v>
      </c>
    </row>
    <row r="23" spans="1:12" ht="17.149999999999999" customHeight="1" x14ac:dyDescent="0.25">
      <c r="A23" s="9"/>
      <c r="B23" s="9" t="s">
        <v>13</v>
      </c>
      <c r="C23" s="11">
        <v>3</v>
      </c>
      <c r="D23" s="14">
        <f>IFERROR(VLOOKUP(B23,제품정보!$A:$B,2,0)*C23,"")</f>
        <v>2409</v>
      </c>
      <c r="E23" s="14">
        <v>130</v>
      </c>
      <c r="F23" s="14">
        <v>2750</v>
      </c>
      <c r="G23" s="14">
        <v>574</v>
      </c>
      <c r="H23" s="14">
        <v>6850</v>
      </c>
      <c r="I23" s="14">
        <f t="shared" si="3"/>
        <v>987</v>
      </c>
      <c r="J23" s="9" t="s">
        <v>37</v>
      </c>
      <c r="K23" s="17" t="s">
        <v>168</v>
      </c>
      <c r="L23" s="9"/>
    </row>
    <row r="24" spans="1:12" ht="17.149999999999999" customHeight="1" x14ac:dyDescent="0.25">
      <c r="A24" s="9"/>
      <c r="B24" s="9" t="s">
        <v>169</v>
      </c>
      <c r="C24" s="11">
        <v>1</v>
      </c>
      <c r="D24" s="14"/>
      <c r="E24" s="14"/>
      <c r="F24" s="14"/>
      <c r="G24" s="14"/>
      <c r="H24" s="14"/>
      <c r="I24" s="14">
        <f t="shared" si="3"/>
        <v>0</v>
      </c>
      <c r="J24" s="9" t="s">
        <v>37</v>
      </c>
      <c r="K24" s="9" t="s">
        <v>171</v>
      </c>
      <c r="L24" s="9" t="s">
        <v>172</v>
      </c>
    </row>
    <row r="25" spans="1:12" ht="17.149999999999999" customHeight="1" x14ac:dyDescent="0.25">
      <c r="A25" s="9"/>
      <c r="B25" s="9" t="s">
        <v>170</v>
      </c>
      <c r="C25" s="11">
        <v>1</v>
      </c>
      <c r="D25" s="14"/>
      <c r="E25" s="14"/>
      <c r="F25" s="14"/>
      <c r="G25" s="14"/>
      <c r="H25" s="14"/>
      <c r="I25" s="14">
        <f t="shared" si="3"/>
        <v>0</v>
      </c>
      <c r="J25" s="9" t="s">
        <v>37</v>
      </c>
      <c r="K25" s="9" t="s">
        <v>171</v>
      </c>
      <c r="L25" s="9"/>
    </row>
    <row r="26" spans="1:12" ht="17.149999999999999" customHeight="1" x14ac:dyDescent="0.25">
      <c r="A26" s="9"/>
      <c r="B26" s="9" t="s">
        <v>164</v>
      </c>
      <c r="C26" s="11">
        <v>1</v>
      </c>
      <c r="D26" s="14">
        <v>4224</v>
      </c>
      <c r="E26" s="14">
        <v>130</v>
      </c>
      <c r="F26" s="14">
        <v>2750</v>
      </c>
      <c r="G26" s="14">
        <v>1310</v>
      </c>
      <c r="H26" s="14">
        <v>17180</v>
      </c>
      <c r="I26" s="14">
        <v>8766</v>
      </c>
      <c r="J26" s="9" t="s">
        <v>37</v>
      </c>
      <c r="K26" s="9" t="s">
        <v>171</v>
      </c>
      <c r="L26" s="9"/>
    </row>
    <row r="27" spans="1:12" ht="17.149999999999999" customHeight="1" x14ac:dyDescent="0.25">
      <c r="A27" s="9"/>
      <c r="B27" s="9" t="s">
        <v>13</v>
      </c>
      <c r="C27" s="11">
        <v>1</v>
      </c>
      <c r="D27" s="14"/>
      <c r="E27" s="14"/>
      <c r="F27" s="14"/>
      <c r="G27" s="14"/>
      <c r="H27" s="14"/>
      <c r="I27" s="14">
        <f>IFERROR(H27-D27-E27-F27-G27,"")</f>
        <v>0</v>
      </c>
      <c r="J27" s="9" t="s">
        <v>174</v>
      </c>
      <c r="K27" s="9" t="s">
        <v>175</v>
      </c>
      <c r="L27" s="9" t="s">
        <v>172</v>
      </c>
    </row>
    <row r="28" spans="1:12" ht="17.149999999999999" customHeight="1" x14ac:dyDescent="0.25">
      <c r="A28" s="9"/>
      <c r="B28" s="9" t="s">
        <v>169</v>
      </c>
      <c r="C28" s="11">
        <v>1</v>
      </c>
      <c r="D28" s="14"/>
      <c r="E28" s="14"/>
      <c r="F28" s="14"/>
      <c r="G28" s="14"/>
      <c r="H28" s="14"/>
      <c r="I28" s="14">
        <f>IFERROR(H28-D28-E28-F28-G28,"")</f>
        <v>0</v>
      </c>
      <c r="J28" s="9" t="s">
        <v>174</v>
      </c>
      <c r="K28" s="9" t="s">
        <v>175</v>
      </c>
      <c r="L28" s="9"/>
    </row>
    <row r="29" spans="1:12" ht="17.149999999999999" customHeight="1" x14ac:dyDescent="0.25">
      <c r="A29" s="9"/>
      <c r="B29" s="9" t="s">
        <v>173</v>
      </c>
      <c r="C29" s="11">
        <v>1</v>
      </c>
      <c r="D29" s="14">
        <v>2989</v>
      </c>
      <c r="E29" s="14">
        <v>130</v>
      </c>
      <c r="F29" s="14">
        <v>2750</v>
      </c>
      <c r="G29" s="14">
        <v>978</v>
      </c>
      <c r="H29" s="14">
        <v>14300</v>
      </c>
      <c r="I29" s="14">
        <v>5954</v>
      </c>
      <c r="J29" s="9" t="s">
        <v>174</v>
      </c>
      <c r="K29" s="9" t="s">
        <v>175</v>
      </c>
      <c r="L29" s="9"/>
    </row>
    <row r="30" spans="1:12" ht="17.149999999999999" customHeight="1" x14ac:dyDescent="0.25">
      <c r="A30" s="9" t="s">
        <v>178</v>
      </c>
      <c r="B30" s="9" t="s">
        <v>167</v>
      </c>
      <c r="C30" s="11">
        <v>1</v>
      </c>
      <c r="D30" s="14">
        <f>IFERROR(VLOOKUP(B30,제품정보!$A:$B,2,0)*C30,"")</f>
        <v>3930</v>
      </c>
      <c r="E30" s="14"/>
      <c r="F30" s="14">
        <v>2750</v>
      </c>
      <c r="G30" s="14">
        <v>530</v>
      </c>
      <c r="H30" s="14">
        <v>7700</v>
      </c>
      <c r="I30" s="14">
        <f t="shared" ref="I30:I32" si="4">IFERROR(H30-D30-E30-F30-G30,"")</f>
        <v>490</v>
      </c>
      <c r="J30" s="9" t="s">
        <v>174</v>
      </c>
      <c r="K30" s="9" t="s">
        <v>179</v>
      </c>
      <c r="L30" s="9"/>
    </row>
    <row r="31" spans="1:12" ht="17.149999999999999" customHeight="1" x14ac:dyDescent="0.25">
      <c r="A31" s="9"/>
      <c r="B31" s="9" t="s">
        <v>167</v>
      </c>
      <c r="C31" s="11">
        <v>1</v>
      </c>
      <c r="D31" s="14">
        <f>IFERROR(VLOOKUP(B31,제품정보!$A:$B,2,0)*C31,"")</f>
        <v>3930</v>
      </c>
      <c r="E31" s="14"/>
      <c r="F31" s="14">
        <v>2750</v>
      </c>
      <c r="G31" s="14">
        <v>530</v>
      </c>
      <c r="H31" s="14">
        <v>7700</v>
      </c>
      <c r="I31" s="14">
        <f t="shared" si="4"/>
        <v>490</v>
      </c>
      <c r="J31" s="9" t="s">
        <v>174</v>
      </c>
      <c r="K31" s="9" t="s">
        <v>180</v>
      </c>
      <c r="L31" s="9"/>
    </row>
    <row r="32" spans="1:12" ht="17.149999999999999" customHeight="1" x14ac:dyDescent="0.25">
      <c r="A32" s="9"/>
      <c r="B32" s="9" t="s">
        <v>170</v>
      </c>
      <c r="C32" s="11">
        <v>2</v>
      </c>
      <c r="D32" s="14">
        <f>IFERROR(VLOOKUP(B32,제품정보!$A:$B,2,0)*C32,"")</f>
        <v>2434</v>
      </c>
      <c r="E32" s="14">
        <v>130</v>
      </c>
      <c r="F32" s="14">
        <v>2750</v>
      </c>
      <c r="G32" s="14">
        <v>657</v>
      </c>
      <c r="H32" s="14">
        <v>7560</v>
      </c>
      <c r="I32" s="14">
        <f t="shared" si="4"/>
        <v>1589</v>
      </c>
      <c r="J32" s="9" t="s">
        <v>174</v>
      </c>
      <c r="K32" s="9" t="s">
        <v>181</v>
      </c>
      <c r="L32" s="9"/>
    </row>
    <row r="33" spans="1:12" ht="17.149999999999999" customHeight="1" x14ac:dyDescent="0.25">
      <c r="A33" s="9"/>
      <c r="B33" s="9" t="s">
        <v>169</v>
      </c>
      <c r="C33" s="11">
        <v>3</v>
      </c>
      <c r="D33" s="14">
        <f>IFERROR(VLOOKUP(B33,제품정보!$A:$B,2,0)*C33,"")</f>
        <v>2088</v>
      </c>
      <c r="E33" s="14">
        <v>130</v>
      </c>
      <c r="F33" s="14">
        <v>2750</v>
      </c>
      <c r="G33" s="14">
        <v>663</v>
      </c>
      <c r="H33" s="14">
        <v>7600</v>
      </c>
      <c r="I33" s="14">
        <f t="shared" ref="I33:I38" si="5">IFERROR(H33-D33-E33-F33-G33,"")</f>
        <v>1969</v>
      </c>
      <c r="J33" s="9" t="s">
        <v>37</v>
      </c>
      <c r="K33" s="9" t="s">
        <v>182</v>
      </c>
      <c r="L33" s="9"/>
    </row>
    <row r="34" spans="1:12" ht="17.149999999999999" customHeight="1" x14ac:dyDescent="0.25">
      <c r="A34" s="9"/>
      <c r="B34" s="9" t="s">
        <v>13</v>
      </c>
      <c r="C34" s="11">
        <v>5</v>
      </c>
      <c r="D34" s="14">
        <f>IFERROR(VLOOKUP(B34,제품정보!$A:$B,2,0)*C34,"")</f>
        <v>4015</v>
      </c>
      <c r="E34" s="14">
        <v>130</v>
      </c>
      <c r="F34" s="14">
        <v>2750</v>
      </c>
      <c r="G34" s="14">
        <v>895</v>
      </c>
      <c r="H34" s="14">
        <v>9550</v>
      </c>
      <c r="I34" s="14">
        <f t="shared" si="5"/>
        <v>1760</v>
      </c>
      <c r="J34" s="9" t="s">
        <v>183</v>
      </c>
      <c r="K34" s="9" t="s">
        <v>184</v>
      </c>
      <c r="L34" s="9"/>
    </row>
    <row r="35" spans="1:12" ht="17.149999999999999" customHeight="1" x14ac:dyDescent="0.25">
      <c r="A35" s="3" t="s">
        <v>185</v>
      </c>
      <c r="B35" s="20" t="s">
        <v>167</v>
      </c>
      <c r="C35" s="11">
        <v>1</v>
      </c>
      <c r="D35" s="14">
        <f>IFERROR(VLOOKUP(B35,제품정보!$A:$B,2,0)*C35,"")</f>
        <v>3930</v>
      </c>
      <c r="E35" s="14"/>
      <c r="F35" s="14">
        <v>2750</v>
      </c>
      <c r="G35" s="14">
        <v>491</v>
      </c>
      <c r="H35" s="14">
        <v>7700</v>
      </c>
      <c r="I35" s="14">
        <f t="shared" si="5"/>
        <v>529</v>
      </c>
      <c r="J35" s="20" t="s">
        <v>190</v>
      </c>
      <c r="K35" s="18" t="s">
        <v>186</v>
      </c>
    </row>
    <row r="36" spans="1:12" ht="17.149999999999999" customHeight="1" x14ac:dyDescent="0.25">
      <c r="B36" s="20" t="s">
        <v>13</v>
      </c>
      <c r="C36" s="11">
        <v>1</v>
      </c>
      <c r="D36" s="14">
        <f>IFERROR(VLOOKUP(B36,제품정보!$A:$B,2,0)*C36,"")</f>
        <v>803</v>
      </c>
      <c r="E36" s="14">
        <v>130</v>
      </c>
      <c r="F36" s="14">
        <v>2750</v>
      </c>
      <c r="G36" s="14">
        <v>253</v>
      </c>
      <c r="H36" s="14">
        <v>4150</v>
      </c>
      <c r="I36" s="14">
        <f t="shared" si="5"/>
        <v>214</v>
      </c>
      <c r="J36" s="20" t="s">
        <v>191</v>
      </c>
      <c r="K36" s="19" t="s">
        <v>187</v>
      </c>
    </row>
    <row r="37" spans="1:12" ht="17.149999999999999" customHeight="1" x14ac:dyDescent="0.25">
      <c r="B37" s="20" t="s">
        <v>105</v>
      </c>
      <c r="C37" s="11">
        <v>2</v>
      </c>
      <c r="D37" s="14">
        <f>IFERROR(VLOOKUP(B37,제품정보!$A:$B,2,0)*C37,"")</f>
        <v>24462</v>
      </c>
      <c r="E37" s="14"/>
      <c r="F37" s="14">
        <v>2750</v>
      </c>
      <c r="G37" s="14">
        <v>5231</v>
      </c>
      <c r="H37" s="14">
        <v>62500</v>
      </c>
      <c r="I37" s="14">
        <f t="shared" si="5"/>
        <v>30057</v>
      </c>
      <c r="J37" s="20" t="s">
        <v>191</v>
      </c>
      <c r="K37" s="19" t="s">
        <v>188</v>
      </c>
    </row>
    <row r="38" spans="1:12" ht="17.149999999999999" customHeight="1" x14ac:dyDescent="0.25">
      <c r="B38" s="20" t="s">
        <v>13</v>
      </c>
      <c r="C38" s="11">
        <v>2</v>
      </c>
      <c r="D38" s="14">
        <f>IFERROR(VLOOKUP(B38,제품정보!$A:$B,2,0)*C38,"")</f>
        <v>1606</v>
      </c>
      <c r="E38" s="14">
        <v>130</v>
      </c>
      <c r="F38" s="14">
        <v>2750</v>
      </c>
      <c r="G38" s="14">
        <v>413</v>
      </c>
      <c r="H38" s="14">
        <v>5500</v>
      </c>
      <c r="I38" s="14">
        <f t="shared" si="5"/>
        <v>601</v>
      </c>
      <c r="J38" s="20" t="s">
        <v>191</v>
      </c>
      <c r="K38" s="19" t="s">
        <v>189</v>
      </c>
    </row>
  </sheetData>
  <phoneticPr fontId="1" type="noConversion"/>
  <pageMargins left="0.7" right="0.7" top="0.75" bottom="0.75" header="0.3" footer="0.3"/>
  <pageSetup paperSize="256" orientation="landscape" horizontalDpi="203" verticalDpi="203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제품정보!$A:$A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제품정보</vt:lpstr>
      <vt:lpstr>제품입고</vt:lpstr>
      <vt:lpstr>그로스판매</vt:lpstr>
      <vt:lpstr>일매출입력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</dc:creator>
  <cp:lastModifiedBy>Patrick</cp:lastModifiedBy>
  <dcterms:created xsi:type="dcterms:W3CDTF">2024-10-10T08:20:55Z</dcterms:created>
  <dcterms:modified xsi:type="dcterms:W3CDTF">2024-10-17T12:32:39Z</dcterms:modified>
</cp:coreProperties>
</file>